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dueudn-my.sharepoint.com/personal/thudh_due_udn_vn/Documents/Hoang Thu/DUE/courses/DS4B/50K22.2/"/>
    </mc:Choice>
  </mc:AlternateContent>
  <xr:revisionPtr revIDLastSave="63" documentId="11_B7A44D82817124337D44B47C4B715B2474F3D9EE" xr6:coauthVersionLast="47" xr6:coauthVersionMax="47" xr10:uidLastSave="{881C0414-08F2-45B0-A6B6-EA834DF5C781}"/>
  <bookViews>
    <workbookView xWindow="-110" yWindow="-110" windowWidth="19420" windowHeight="10300" xr2:uid="{00000000-000D-0000-FFFF-FFFF00000000}"/>
  </bookViews>
  <sheets>
    <sheet name="ELC3020_50K22.2" sheetId="1" r:id="rId1"/>
    <sheet name="Project giữa kỳ" sheetId="2" r:id="rId2"/>
    <sheet name="Biểu đồ nâng cao" sheetId="3" r:id="rId3"/>
    <sheet name="Tư duy phân tích &amp; xây dựng da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2"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P43" i="1" s="1"/>
  <c r="Q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2" i="1"/>
  <c r="K2" i="1" s="1"/>
  <c r="P47" i="1" l="1"/>
  <c r="Q47" i="1" s="1"/>
  <c r="P39" i="1"/>
  <c r="Q39" i="1" s="1"/>
  <c r="P23" i="1"/>
  <c r="Q23" i="1" s="1"/>
  <c r="P15" i="1"/>
  <c r="Q15" i="1" s="1"/>
  <c r="P55" i="1"/>
  <c r="Q55" i="1" s="1"/>
  <c r="P51" i="1"/>
  <c r="Q51" i="1" s="1"/>
  <c r="P19" i="1"/>
  <c r="Q19" i="1" s="1"/>
  <c r="P35" i="1"/>
  <c r="Q35" i="1" s="1"/>
  <c r="P11" i="1"/>
  <c r="Q11" i="1" s="1"/>
  <c r="P31" i="1"/>
  <c r="Q31" i="1" s="1"/>
  <c r="P10" i="1"/>
  <c r="Q10" i="1" s="1"/>
  <c r="P18" i="1"/>
  <c r="Q18" i="1" s="1"/>
  <c r="P27" i="1"/>
  <c r="Q27" i="1" s="1"/>
  <c r="P7" i="1"/>
  <c r="Q7" i="1" s="1"/>
  <c r="P59" i="1"/>
  <c r="Q59" i="1" s="1"/>
  <c r="P26" i="1"/>
  <c r="Q26" i="1" s="1"/>
  <c r="P3" i="1"/>
  <c r="Q3" i="1" s="1"/>
  <c r="P50" i="1"/>
  <c r="Q50" i="1" s="1"/>
  <c r="P34" i="1"/>
  <c r="Q34" i="1" s="1"/>
  <c r="P57" i="1"/>
  <c r="Q57" i="1" s="1"/>
  <c r="P49" i="1"/>
  <c r="Q49" i="1" s="1"/>
  <c r="P41" i="1"/>
  <c r="Q41" i="1" s="1"/>
  <c r="P33" i="1"/>
  <c r="Q33" i="1" s="1"/>
  <c r="P25" i="1"/>
  <c r="Q25" i="1" s="1"/>
  <c r="P17" i="1"/>
  <c r="Q17" i="1" s="1"/>
  <c r="P9" i="1"/>
  <c r="Q9" i="1" s="1"/>
  <c r="P56" i="1"/>
  <c r="Q56" i="1" s="1"/>
  <c r="P48" i="1"/>
  <c r="Q48" i="1" s="1"/>
  <c r="P40" i="1"/>
  <c r="Q40" i="1" s="1"/>
  <c r="P32" i="1"/>
  <c r="Q32" i="1" s="1"/>
  <c r="P24" i="1"/>
  <c r="Q24" i="1" s="1"/>
  <c r="P16" i="1"/>
  <c r="Q16" i="1" s="1"/>
  <c r="P8" i="1"/>
  <c r="Q8" i="1" s="1"/>
  <c r="P58" i="1"/>
  <c r="Q58" i="1" s="1"/>
  <c r="P62" i="1"/>
  <c r="Q62" i="1" s="1"/>
  <c r="P54" i="1"/>
  <c r="Q54" i="1" s="1"/>
  <c r="P46" i="1"/>
  <c r="Q46" i="1" s="1"/>
  <c r="P38" i="1"/>
  <c r="Q38" i="1" s="1"/>
  <c r="P30" i="1"/>
  <c r="Q30" i="1" s="1"/>
  <c r="P22" i="1"/>
  <c r="Q22" i="1" s="1"/>
  <c r="P14" i="1"/>
  <c r="Q14" i="1" s="1"/>
  <c r="P6" i="1"/>
  <c r="Q6" i="1" s="1"/>
  <c r="P42" i="1"/>
  <c r="Q42" i="1" s="1"/>
  <c r="P61" i="1"/>
  <c r="Q61" i="1" s="1"/>
  <c r="P53" i="1"/>
  <c r="Q53" i="1" s="1"/>
  <c r="P45" i="1"/>
  <c r="Q45" i="1" s="1"/>
  <c r="P37" i="1"/>
  <c r="Q37" i="1" s="1"/>
  <c r="P29" i="1"/>
  <c r="Q29" i="1" s="1"/>
  <c r="P21" i="1"/>
  <c r="Q21" i="1" s="1"/>
  <c r="P13" i="1"/>
  <c r="Q13" i="1" s="1"/>
  <c r="P5" i="1"/>
  <c r="Q5" i="1" s="1"/>
  <c r="P60" i="1"/>
  <c r="Q60" i="1" s="1"/>
  <c r="P52" i="1"/>
  <c r="Q52" i="1" s="1"/>
  <c r="P44" i="1"/>
  <c r="Q44" i="1" s="1"/>
  <c r="P36" i="1"/>
  <c r="Q36" i="1" s="1"/>
  <c r="P28" i="1"/>
  <c r="Q28" i="1" s="1"/>
  <c r="P20" i="1"/>
  <c r="Q20" i="1" s="1"/>
  <c r="P12" i="1"/>
  <c r="Q12" i="1" s="1"/>
  <c r="P4" i="1"/>
  <c r="Q4" i="1" s="1"/>
  <c r="P2" i="1"/>
  <c r="Q2" i="1" s="1"/>
</calcChain>
</file>

<file path=xl/sharedStrings.xml><?xml version="1.0" encoding="utf-8"?>
<sst xmlns="http://schemas.openxmlformats.org/spreadsheetml/2006/main" count="679" uniqueCount="320">
  <si>
    <t>48K30</t>
  </si>
  <si>
    <t>Nguyễn Thị Mai</t>
  </si>
  <si>
    <t>Trang</t>
  </si>
  <si>
    <t>221121330159</t>
  </si>
  <si>
    <t>49K22.1</t>
  </si>
  <si>
    <t>Lê Trường</t>
  </si>
  <si>
    <t>Đại</t>
  </si>
  <si>
    <t>231124022103</t>
  </si>
  <si>
    <t>Nguyễn Thị Huỳnh</t>
  </si>
  <si>
    <t>Lưu</t>
  </si>
  <si>
    <t>231124022116</t>
  </si>
  <si>
    <t>Phan Như</t>
  </si>
  <si>
    <t>Quỳnh</t>
  </si>
  <si>
    <t>231124022128</t>
  </si>
  <si>
    <t>Hoàng Phương</t>
  </si>
  <si>
    <t>Thảo</t>
  </si>
  <si>
    <t>231124022129</t>
  </si>
  <si>
    <t>Võ Trần Quỳnh</t>
  </si>
  <si>
    <t>231124022135</t>
  </si>
  <si>
    <t>49K22.3</t>
  </si>
  <si>
    <t>Nguyễn Thị Kim</t>
  </si>
  <si>
    <t>Nguyên</t>
  </si>
  <si>
    <t>231124022324</t>
  </si>
  <si>
    <t>Trương Khánh</t>
  </si>
  <si>
    <t>Nhi</t>
  </si>
  <si>
    <t>231124022328</t>
  </si>
  <si>
    <t>49K22.4</t>
  </si>
  <si>
    <t>Bùi Thị Mỹ</t>
  </si>
  <si>
    <t>Linh</t>
  </si>
  <si>
    <t>231124022114</t>
  </si>
  <si>
    <t>Nguyễn Đức</t>
  </si>
  <si>
    <t>Mạnh</t>
  </si>
  <si>
    <t>231124022419</t>
  </si>
  <si>
    <t>Nguyễn Văn</t>
  </si>
  <si>
    <t>Thành</t>
  </si>
  <si>
    <t>231124022434</t>
  </si>
  <si>
    <t>Võ Thị Ngọc</t>
  </si>
  <si>
    <t>Thịnh</t>
  </si>
  <si>
    <t>231124022435</t>
  </si>
  <si>
    <t>Cao Thị</t>
  </si>
  <si>
    <t>Tiến</t>
  </si>
  <si>
    <t>231124022437</t>
  </si>
  <si>
    <t>49K25.5</t>
  </si>
  <si>
    <t>Đinh Khánh</t>
  </si>
  <si>
    <t>231121325517</t>
  </si>
  <si>
    <t>50K22.2</t>
  </si>
  <si>
    <t>Bùi Lê Hoài</t>
  </si>
  <si>
    <t>Anh</t>
  </si>
  <si>
    <t>241124022202</t>
  </si>
  <si>
    <t>Đoàn Nhật Minh</t>
  </si>
  <si>
    <t>241124022201</t>
  </si>
  <si>
    <t>Lâm Hải</t>
  </si>
  <si>
    <t>Đan</t>
  </si>
  <si>
    <t>241124022203</t>
  </si>
  <si>
    <t>Trương Văn Minh</t>
  </si>
  <si>
    <t>Đức</t>
  </si>
  <si>
    <t>241124022204</t>
  </si>
  <si>
    <t>Lê Thị Kim</t>
  </si>
  <si>
    <t>Duyên</t>
  </si>
  <si>
    <t>241124022205</t>
  </si>
  <si>
    <t>Nguyễn Thị Mỹ</t>
  </si>
  <si>
    <t>241124022206</t>
  </si>
  <si>
    <t>Hoàng Hà</t>
  </si>
  <si>
    <t>Giang</t>
  </si>
  <si>
    <t>241124022207</t>
  </si>
  <si>
    <t>Lê Thị Hương</t>
  </si>
  <si>
    <t>241124022208</t>
  </si>
  <si>
    <t>Nguyễn Ngọc Khánh</t>
  </si>
  <si>
    <t>Hạ</t>
  </si>
  <si>
    <t>241124022209</t>
  </si>
  <si>
    <t>Đinh Đức</t>
  </si>
  <si>
    <t>Hiếu</t>
  </si>
  <si>
    <t>241124022211</t>
  </si>
  <si>
    <t>Lê Quang</t>
  </si>
  <si>
    <t>241124022210</t>
  </si>
  <si>
    <t>Đỗ Thị Lệ</t>
  </si>
  <si>
    <t>Huyền</t>
  </si>
  <si>
    <t>241124022213</t>
  </si>
  <si>
    <t>Bạch Nguyễn Trung</t>
  </si>
  <si>
    <t>Kiên</t>
  </si>
  <si>
    <t>241124022214</t>
  </si>
  <si>
    <t>Loan</t>
  </si>
  <si>
    <t>241124022215</t>
  </si>
  <si>
    <t>Nguyễn Phúc</t>
  </si>
  <si>
    <t>241124022216</t>
  </si>
  <si>
    <t>Phạm Văn Anh</t>
  </si>
  <si>
    <t>Minh</t>
  </si>
  <si>
    <t>241124022217</t>
  </si>
  <si>
    <t>Nguyễn Thị Kiều</t>
  </si>
  <si>
    <t>My</t>
  </si>
  <si>
    <t>241124022219</t>
  </si>
  <si>
    <t>Võ Phan Ái</t>
  </si>
  <si>
    <t>241124022218</t>
  </si>
  <si>
    <t>Trần Nguyễn Thúy</t>
  </si>
  <si>
    <t>Ngân</t>
  </si>
  <si>
    <t>241124022220</t>
  </si>
  <si>
    <t>Đỗ Định</t>
  </si>
  <si>
    <t>Nghi</t>
  </si>
  <si>
    <t>241124022221</t>
  </si>
  <si>
    <t>Võ Thị Bảo</t>
  </si>
  <si>
    <t>Ngọc</t>
  </si>
  <si>
    <t>241124022222</t>
  </si>
  <si>
    <t>Văn Thảo</t>
  </si>
  <si>
    <t>241124022223</t>
  </si>
  <si>
    <t>Huỳnh Thị Yến</t>
  </si>
  <si>
    <t>241124022225</t>
  </si>
  <si>
    <t>Lê Thị Khánh</t>
  </si>
  <si>
    <t>241124022224</t>
  </si>
  <si>
    <t>Ngô Dương Uyên</t>
  </si>
  <si>
    <t>241124022227</t>
  </si>
  <si>
    <t>Nguyễn Thị</t>
  </si>
  <si>
    <t>241124022226</t>
  </si>
  <si>
    <t>Phạm Ngọc Yến</t>
  </si>
  <si>
    <t>241124022228</t>
  </si>
  <si>
    <t>Nguyễn Hồng</t>
  </si>
  <si>
    <t>Như</t>
  </si>
  <si>
    <t>241124022229</t>
  </si>
  <si>
    <t>Trần Bảo Yến</t>
  </si>
  <si>
    <t>241124022230</t>
  </si>
  <si>
    <t>Võ Thị Tuyết</t>
  </si>
  <si>
    <t>Nhung</t>
  </si>
  <si>
    <t>241124022231</t>
  </si>
  <si>
    <t>Võ Hồ Hà</t>
  </si>
  <si>
    <t>Phương</t>
  </si>
  <si>
    <t>241124022232</t>
  </si>
  <si>
    <t>Đặng Văn</t>
  </si>
  <si>
    <t>Tân</t>
  </si>
  <si>
    <t>241124022233</t>
  </si>
  <si>
    <t>Trần Lê Phương</t>
  </si>
  <si>
    <t>Thanh</t>
  </si>
  <si>
    <t>241124022234</t>
  </si>
  <si>
    <t>Nguyễn Thị Châu</t>
  </si>
  <si>
    <t>241124022235</t>
  </si>
  <si>
    <t>Lê Trần Đức</t>
  </si>
  <si>
    <t>241124022236</t>
  </si>
  <si>
    <t>Nguyễn Tâm</t>
  </si>
  <si>
    <t>Thư</t>
  </si>
  <si>
    <t>241124022237</t>
  </si>
  <si>
    <t>Hồ Thị Thủy</t>
  </si>
  <si>
    <t>Tiên</t>
  </si>
  <si>
    <t>241124022238</t>
  </si>
  <si>
    <t>Đoàn Ngọc Bảo</t>
  </si>
  <si>
    <t>Trân</t>
  </si>
  <si>
    <t>241124022239</t>
  </si>
  <si>
    <t>Đinh Nữ Quỳnh</t>
  </si>
  <si>
    <t>241124022240</t>
  </si>
  <si>
    <t>Đặng Huỳnh Thảo</t>
  </si>
  <si>
    <t>Trinh</t>
  </si>
  <si>
    <t>241124022241</t>
  </si>
  <si>
    <t>Nguyễn Thành</t>
  </si>
  <si>
    <t>Trung</t>
  </si>
  <si>
    <t>241124022242</t>
  </si>
  <si>
    <t>Đậu Trần Khánh</t>
  </si>
  <si>
    <t>Tùng</t>
  </si>
  <si>
    <t>241124022243</t>
  </si>
  <si>
    <t>Phạm Thị Nhật</t>
  </si>
  <si>
    <t>Uyên</t>
  </si>
  <si>
    <t>241124022244</t>
  </si>
  <si>
    <t>Trần Thị Hồng</t>
  </si>
  <si>
    <t>Vân</t>
  </si>
  <si>
    <t>241124022245</t>
  </si>
  <si>
    <t>Thân Thị Yến</t>
  </si>
  <si>
    <t>Vy</t>
  </si>
  <si>
    <t>241124022246</t>
  </si>
  <si>
    <t>Nguyễn Thị Như</t>
  </si>
  <si>
    <t>Ý</t>
  </si>
  <si>
    <t>241124022247</t>
  </si>
  <si>
    <t>50K30</t>
  </si>
  <si>
    <t>Nguyễn Hoàng Anh</t>
  </si>
  <si>
    <t>Tú</t>
  </si>
  <si>
    <t>241121330147</t>
  </si>
  <si>
    <t xml:space="preserve"> </t>
  </si>
  <si>
    <t>Student Name</t>
  </si>
  <si>
    <t>Class</t>
  </si>
  <si>
    <t>Topic</t>
  </si>
  <si>
    <t>Dataset (link)</t>
  </si>
  <si>
    <t>Note (leader)</t>
  </si>
  <si>
    <t>Đặng Văn Tân</t>
  </si>
  <si>
    <t>Phân tích hiệu quả kinh doanh và hành vi khách hàng toàn cầu của Apple Inc. nhằm nâng cao doanh thu</t>
  </si>
  <si>
    <t>Dataset</t>
  </si>
  <si>
    <t>8.4
- dashboard ko fit màn hình, dùng chữ khó nhìn
- trình bày chán</t>
  </si>
  <si>
    <t>Lê Trần Đức Thịnh</t>
  </si>
  <si>
    <t>Nguyễn Thành Trung</t>
  </si>
  <si>
    <t>Phạm Văn Anh Minh</t>
  </si>
  <si>
    <t>Bạch Nguyễn Trung Kiên</t>
  </si>
  <si>
    <t>Nguyễn Đức Mạnh</t>
  </si>
  <si>
    <t>Đậu Trần Khánh Tùng</t>
  </si>
  <si>
    <t>Phân tích hành vi khách hàng và đánh giá hiệu quả chương trình khuyến mãi, hỗ trợ tối ưu hóa chiến lược tiếp thị cá nhân hóa cho chuỗi cà phê Starbucks</t>
  </si>
  <si>
    <t>Đinh Đức Hiếu</t>
  </si>
  <si>
    <t>Hoàng Hà Giang</t>
  </si>
  <si>
    <t>Nguyễn Thị Châu Thảo</t>
  </si>
  <si>
    <t>Lê Thị Khánh Nhi</t>
  </si>
  <si>
    <t>Võ Phan Ái My</t>
  </si>
  <si>
    <t>Phân tích trải nghiệm khách hàng tại the azure tower</t>
  </si>
  <si>
    <t>8.3
- dashboard thiết kế tương đối, tuy nhiên chỉ vẽ 1 dashboard
- phân tích chưa sâu
- trình bày chưa lưu loát lắm
- đầu tư sơ sài, chưa khai thác hết bộ dữ liệu</t>
  </si>
  <si>
    <t>Võ Thị Bảo Ngọc</t>
  </si>
  <si>
    <t>Trần Nguyễn Thuý Ngân</t>
  </si>
  <si>
    <t>Lê Quang Hiếu</t>
  </si>
  <si>
    <t>Trương Văn Minh Đức</t>
  </si>
  <si>
    <t>Văn Thảo Nguyên</t>
  </si>
  <si>
    <t xml:space="preserve">Nguyễn Thị Mai Trang </t>
  </si>
  <si>
    <t xml:space="preserve">Phân tích tình hình kinh doanh của chuỗi cung ứng DataCo Global </t>
  </si>
  <si>
    <t>Nguyễn Thị Kim Nguyên</t>
  </si>
  <si>
    <t>Trương Khánh Nhi</t>
  </si>
  <si>
    <t>Đinh Khánh Linh</t>
  </si>
  <si>
    <t>Đinh Nữ Quỳnh Trang</t>
  </si>
  <si>
    <t>Phạm Thị Nhật Uyên</t>
  </si>
  <si>
    <t>Phân tích hành vi và khám phá các yếu tố ảnh hưởng đến quyết định rời bỏ dịch vụ viễn thông của khách hàng</t>
  </si>
  <si>
    <t>Đoàn Ngọc Bảo Trân</t>
  </si>
  <si>
    <t>X</t>
  </si>
  <si>
    <t>Nguyễn Hồng Như</t>
  </si>
  <si>
    <t>Nguyễn Tâm Thư</t>
  </si>
  <si>
    <t>Phạm Ngọc Yến Nhi</t>
  </si>
  <si>
    <t>Võ Thị Tuyết Nhung</t>
  </si>
  <si>
    <t>Phân tích tình hình kinh doanh của Adidas tại Mỹ giai đoạn 2020-2021</t>
  </si>
  <si>
    <t xml:space="preserve">9
- có phân tích what-if
dashboard thiết kế tốt nhưng lại trình bày dưới dạng chart, không tận dụng được tương tác giữa các chart
- Trình bày quá nhiều, cần chắt lọc lại
- tiền xử lý dữ liệu?
- Insights, thống kê rời rạc, story telling chưa hấp dẫn, chưa thấy support cho bài toán chính
Adidas tăng trưởng chậm?
- Từng chart không support cho bài toán chính
- Trình bày theo chart, không trình bày theo dashboard
- đề xuất nên trực tiếp liên quan đến insights và dashboard, đến cuối tóm lại
</t>
  </si>
  <si>
    <t>Võ Hồ Hà Phương</t>
  </si>
  <si>
    <t>Hồ Thị Thủy Tiên</t>
  </si>
  <si>
    <t>Nguyễn Thị Mỹ Duyên</t>
  </si>
  <si>
    <t>Trần Lê Phương Thanh</t>
  </si>
  <si>
    <t>Đỗ Thị Lệ Huyền</t>
  </si>
  <si>
    <t>Phân tích hiệu suất quảng cáo và đề xuất giải pháp tối ưu hóa tỷ lệ chuyển đổi</t>
  </si>
  <si>
    <t>9.4
- đổi bộ dữ liệu
- làm dashboard rất tốt
- tìm insights tốt
- TT chưa lưu loát, chưa biết trình bày vấn đề cho dễ hiểu
- mô hình dự đoán khó hiểu</t>
  </si>
  <si>
    <t>Nguyễn Thị Kim Loan</t>
  </si>
  <si>
    <t>Nguyễn Thị Kiều My</t>
  </si>
  <si>
    <t>Ngô Dương Uyên Nhi</t>
  </si>
  <si>
    <t>Nguyễn Phúc Lưu</t>
  </si>
  <si>
    <t>Võ Trần Quỳnh Trang</t>
  </si>
  <si>
    <t>PHÂN TÍCH CÁC YÊU TỐ ẢNH HƯỞNG ĐẾN BỆNH HEN SUYỄN</t>
  </si>
  <si>
    <t>Phan Như Quỳnh</t>
  </si>
  <si>
    <t>Hoàng Phương Thảo</t>
  </si>
  <si>
    <t>Nguyễn Thị Huỳnh Lưu</t>
  </si>
  <si>
    <t>Đặng Huỳnh Thảo Trinh</t>
  </si>
  <si>
    <t>Trần Thị Hồng Vân</t>
  </si>
  <si>
    <t xml:space="preserve">Phân tích hiệu suất hệ thống Smart Logistics và tối ưu hóa giao hàng trễ
</t>
  </si>
  <si>
    <t>8.4
- dữ liệu giả lập -&gt; ko mường tượng được bối cảnh -&gt; kẹt xe -&gt; thành phố?-&gt; đề xuất khó thực tiễn
- truyền đạt chưa lưu loát, dễ hiểu
- biểu đồ dùng chart còn đơn giản
- có tìm ra insight</t>
  </si>
  <si>
    <t>Nguyễn Thị Nhi</t>
  </si>
  <si>
    <t>Bùi Lê Hoài Anh</t>
  </si>
  <si>
    <t>Lê Thị Kim Duyên</t>
  </si>
  <si>
    <t>Thân Thị Yến Vy</t>
  </si>
  <si>
    <t>Trần Bảo Yến Như</t>
  </si>
  <si>
    <t>Bùi Thị Mỹ Linh</t>
  </si>
  <si>
    <t>Phân tích trải nghiệm và mức độ hài lòng của hành khách đối với dịch vụ của hãng hàng không Japan Airlines.</t>
  </si>
  <si>
    <t>Cao Thị Tiến</t>
  </si>
  <si>
    <t>Võ Thị Ngọc Thịnh</t>
  </si>
  <si>
    <t>Nguyễn Văn Thành</t>
  </si>
  <si>
    <t>Nguyễn Hoàng Anh Tú</t>
  </si>
  <si>
    <t>Lê Thị Hương Giang</t>
  </si>
  <si>
    <t>50k22.2</t>
  </si>
  <si>
    <t xml:space="preserve">Dữ liệu chuyến đi taxi dựa trên mức độ sử dụng tại thành phố New York </t>
  </si>
  <si>
    <t>8.7
- taxi, giải pháp chưa thực tế, 
- có đầu tư</t>
  </si>
  <si>
    <t>Huỳnh Thị Yến Nhi</t>
  </si>
  <si>
    <t>Nguyễn Ngọc Khánh Hạ</t>
  </si>
  <si>
    <t>Lâm Hải Đan</t>
  </si>
  <si>
    <t>Đoàn Nhật Minh Anh</t>
  </si>
  <si>
    <t>Đỗ Định Nghi</t>
  </si>
  <si>
    <t>f</t>
  </si>
  <si>
    <t>Grade</t>
  </si>
  <si>
    <t xml:space="preserve">- Dual-Axis Combination Chart
- Heat Map
- Tree Map
</t>
  </si>
  <si>
    <t>A-
 - có chuẩn bị cơ bản, thuyết trình tốt, phân tích còn đơn giản</t>
  </si>
  <si>
    <t xml:space="preserve">
- Bullet Graphs</t>
  </si>
  <si>
    <t>A - tốt</t>
  </si>
  <si>
    <t>- Box-and-Whisker Plot</t>
  </si>
  <si>
    <t>A- tốt</t>
  </si>
  <si>
    <t>- Gantt Chart</t>
  </si>
  <si>
    <t>- Làm lại
- Thuyết trình chưa tốt, chưa biết cách mô tả dữ liệu
------------
- Thuyết trình lại có cải thiện, tuy nhiên vẫn chưa tốt lắm
B+</t>
  </si>
  <si>
    <t>- Waterfall Chart</t>
  </si>
  <si>
    <t>- A, Phần đầu thuyết trình tốt, phần phân tích đọc slide</t>
  </si>
  <si>
    <t>- Donut Charts</t>
  </si>
  <si>
    <t>A+, rất tốt</t>
  </si>
  <si>
    <t xml:space="preserve">- Funnel Chart
</t>
  </si>
  <si>
    <t>A 
- Tìm dữ liệu minh họa rất tốt
- Thuyết trình hơi nhỏ</t>
  </si>
  <si>
    <t>- Dynamic Dual-Axis Bump Charts</t>
  </si>
  <si>
    <t>- A - Chưa biết đưa số vào hình tròn</t>
  </si>
  <si>
    <t>- Likert Scale</t>
  </si>
  <si>
    <t xml:space="preserve">- A-
Chưa biết cách phân tích </t>
  </si>
  <si>
    <t>- Butterfly Chart</t>
  </si>
  <si>
    <t>- A-
Tạm ổn, chỉ có 1 người thuyết trình chính</t>
  </si>
  <si>
    <t>- Map
- Pareto Chart</t>
  </si>
  <si>
    <t>- A+, rất tốt</t>
  </si>
  <si>
    <t>Complaints Dashboard</t>
  </si>
  <si>
    <t>6-6.5-7 (B-)
- not quite fluently
- tách riêng từng biểu đồ ra khỏi dashboard
- chưa trình bày hết nội dung trong file pdf</t>
  </si>
  <si>
    <t>Ranking by Now, Comparing with Then</t>
  </si>
  <si>
    <t xml:space="preserve">Vắng ko phép (đóng góp 40%) </t>
  </si>
  <si>
    <t xml:space="preserve"> A- -&gt; A
- Có cố gắng trình bày, đặt vấn đề 
- Chưa làm rõ được sự tinh tế của NPS
- Trình bày nhiều về mặt thiết kế, chưa sâu về phân tích
- Cố gắng trình bày nhưng chưa thực sự hiểu vấn đề</t>
  </si>
  <si>
    <t>Showing Sentiment with Net Promoter Score</t>
  </si>
  <si>
    <t>A-
- nói được về NPS
- chưa thực sự hấp dẫn</t>
  </si>
  <si>
    <t>Showing Actual versus Potential UtilizationFile</t>
  </si>
  <si>
    <t xml:space="preserve">A- -&gt; A
- Có giải thích thuật ngữ rõ ràng
- TT vẫn còn đọc slide
</t>
  </si>
  <si>
    <t>Showing Churn or Turnover</t>
  </si>
  <si>
    <t>A - A+
- xung phong Thuyết trình thứ hai
- Tư duy phân tích rất tốt
- Thuyết trình vẫn lê thê
- Đề xuất tốt</t>
  </si>
  <si>
    <t>executive Sales dashboard</t>
  </si>
  <si>
    <t>8-
- chỉ định Thuyết trình đầu tiên
- Chưa xem kỹ thông tin trong bài
 (chưa trả lời đc câu hỏi)
- Chưa giải thích được các metrics trong bài</t>
  </si>
  <si>
    <t xml:space="preserve">Multiple Key Performance Metrics </t>
  </si>
  <si>
    <t xml:space="preserve"> B+ -&gt; A-
- nhiệt tình, tiểu phẩm
- Chưa có tư duy phân tích
- Chưa hiểu về KPI
- Có cố găng trình bày nhưng chưa lôi cuốn, chưa biết cách phân tích</t>
  </si>
  <si>
    <t>Hospitality Dashboard for Hotel Management</t>
  </si>
  <si>
    <t>A
- Có giới thiệu bối cảnh, chỉ số
- TT tương đối
- chưa trình bày được tổng quan dashboard, tên chuỗi ks</t>
  </si>
  <si>
    <t>Web Analytics</t>
  </si>
  <si>
    <t>B
- chưa tìm hiểu gì về trang web đang phân tích
- chưa nắm rõ nội dung
- TT đọc thuộc lòng, chưa biết cách phân tích</t>
  </si>
  <si>
    <t>What-If Analysis: Wage Increase ramifications</t>
  </si>
  <si>
    <t>B-&gt;A-
- cần cải thiện khả năng TT
- có đặt ra vấn đề
- chưa khái quát hóa được ptich what-iff
- phân tích chưa logic, khó hiểu</t>
  </si>
  <si>
    <t>big mac index</t>
  </si>
  <si>
    <t>A -&gt; A+
- Trình bày tốt về big mac</t>
  </si>
  <si>
    <t>MSSV</t>
  </si>
  <si>
    <t>Lớp</t>
  </si>
  <si>
    <t>Họ và tên đệm</t>
  </si>
  <si>
    <t>Tên</t>
  </si>
  <si>
    <t>Điểm danh 1</t>
  </si>
  <si>
    <t>Kiểm tra chương 1</t>
  </si>
  <si>
    <t>Kiểm tra tiền xử lý dữ liệu</t>
  </si>
  <si>
    <t>Kiểm tra data mining</t>
  </si>
  <si>
    <t>Điểm cộng</t>
  </si>
  <si>
    <t>Thành phần 1</t>
  </si>
  <si>
    <t>Thành phần 2</t>
  </si>
  <si>
    <t>Thành phần 1 chính thức (nếu Thành phần 1 &gt; 10 thì lấy 10)</t>
  </si>
  <si>
    <t>Biểu đồ nâng cao (15% TP2)</t>
  </si>
  <si>
    <t>Tư duy phân tích và xây dựng dashboard (15% TP2)</t>
  </si>
  <si>
    <t>Thi giữa kỳ (70% TP2)</t>
  </si>
  <si>
    <t xml:space="preserve">Điểm dư từ TP1 </t>
  </si>
  <si>
    <t>Thành phần 2 chính thức = Thành phần 2 + Điểm dư từ TP1/3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</si>
</sst>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font>
      <sz val="11"/>
      <color rgb="FF000000"/>
      <name val="Calibri"/>
      <scheme val="minor"/>
    </font>
    <font>
      <sz val="11"/>
      <color rgb="FFFFFFFF"/>
      <name val="Calibri"/>
      <scheme val="minor"/>
    </font>
    <font>
      <sz val="11"/>
      <color theme="1"/>
      <name val="Calibri"/>
      <scheme val="minor"/>
    </font>
    <font>
      <sz val="12"/>
      <color rgb="FF000000"/>
      <name val="Calibri"/>
    </font>
    <font>
      <b/>
      <sz val="11"/>
      <color theme="1"/>
      <name val="Times New Roman"/>
    </font>
    <font>
      <sz val="11"/>
      <color theme="1"/>
      <name val="Times New Roman"/>
    </font>
    <font>
      <u/>
      <sz val="11"/>
      <color rgb="FF1155CC"/>
      <name val="Times New Roman"/>
    </font>
    <font>
      <sz val="11"/>
      <color theme="1"/>
      <name val="Arial"/>
    </font>
    <font>
      <sz val="11"/>
      <name val="Calibri"/>
    </font>
    <font>
      <sz val="11"/>
      <color rgb="FF1F2328"/>
      <name val="Times New Roman"/>
    </font>
    <font>
      <u/>
      <sz val="11"/>
      <color rgb="FF1155CC"/>
      <name val="Times New Roman"/>
    </font>
    <font>
      <sz val="11"/>
      <color rgb="FF1C1E21"/>
      <name val="Times New Roman"/>
    </font>
    <font>
      <u/>
      <sz val="12"/>
      <color rgb="FF1155CC"/>
      <name val="Times New Roman"/>
    </font>
    <font>
      <u/>
      <sz val="11"/>
      <color rgb="FF1155CC"/>
      <name val="Times New Roman"/>
    </font>
    <font>
      <u/>
      <sz val="11"/>
      <color rgb="FF1155CC"/>
      <name val="Times New Roman"/>
    </font>
    <font>
      <sz val="11"/>
      <color theme="1"/>
      <name val="Times"/>
    </font>
    <font>
      <b/>
      <sz val="11"/>
      <color rgb="FFFFFFFF"/>
      <name val="Calibri"/>
      <family val="2"/>
      <scheme val="minor"/>
    </font>
    <font>
      <b/>
      <sz val="12"/>
      <color rgb="FF000000"/>
      <name val="Calibri"/>
      <family val="2"/>
    </font>
    <font>
      <b/>
      <sz val="11"/>
      <color rgb="FF000000"/>
      <name val="Calibri"/>
      <family val="2"/>
      <scheme val="minor"/>
    </font>
    <font>
      <sz val="11"/>
      <color rgb="FFFFFFFF"/>
      <name val="Calibri"/>
      <family val="2"/>
      <scheme val="minor"/>
    </font>
    <font>
      <sz val="8"/>
      <name val="Calibri"/>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59">
    <xf numFmtId="0" fontId="0" fillId="0" borderId="0" xfId="0"/>
    <xf numFmtId="0" fontId="1" fillId="0" borderId="0" xfId="0" applyFont="1"/>
    <xf numFmtId="0" fontId="2" fillId="0" borderId="0" xfId="0" applyFont="1"/>
    <xf numFmtId="0" fontId="4" fillId="0" borderId="1" xfId="0" applyFont="1" applyBorder="1" applyAlignment="1">
      <alignment horizontal="center" wrapText="1"/>
    </xf>
    <xf numFmtId="0" fontId="5" fillId="0" borderId="1" xfId="0" applyFont="1" applyBorder="1" applyAlignment="1">
      <alignment wrapText="1"/>
    </xf>
    <xf numFmtId="0" fontId="7" fillId="0" borderId="1" xfId="0" applyFont="1" applyBorder="1"/>
    <xf numFmtId="0" fontId="5" fillId="0" borderId="1" xfId="0" applyFont="1" applyBorder="1" applyAlignment="1">
      <alignment horizontal="center" wrapText="1"/>
    </xf>
    <xf numFmtId="0" fontId="7" fillId="0" borderId="0" xfId="0" applyFont="1"/>
    <xf numFmtId="0" fontId="5" fillId="3" borderId="1" xfId="0" applyFont="1" applyFill="1" applyBorder="1"/>
    <xf numFmtId="0" fontId="7" fillId="3" borderId="1" xfId="0" applyFont="1" applyFill="1" applyBorder="1"/>
    <xf numFmtId="0" fontId="5" fillId="3" borderId="1" xfId="0" applyFont="1" applyFill="1" applyBorder="1" applyAlignment="1">
      <alignment wrapText="1"/>
    </xf>
    <xf numFmtId="0" fontId="7" fillId="0" borderId="2" xfId="0" applyFont="1" applyBorder="1"/>
    <xf numFmtId="0" fontId="5" fillId="0" borderId="0" xfId="0" applyFont="1" applyAlignment="1">
      <alignment wrapText="1"/>
    </xf>
    <xf numFmtId="0" fontId="7" fillId="3" borderId="2" xfId="0" applyFont="1" applyFill="1" applyBorder="1"/>
    <xf numFmtId="0" fontId="5" fillId="3" borderId="3" xfId="0" applyFont="1" applyFill="1" applyBorder="1" applyAlignment="1">
      <alignment horizontal="center" wrapText="1"/>
    </xf>
    <xf numFmtId="0" fontId="7" fillId="3" borderId="3" xfId="0" applyFont="1" applyFill="1" applyBorder="1"/>
    <xf numFmtId="0" fontId="7" fillId="3" borderId="4" xfId="0" applyFont="1" applyFill="1" applyBorder="1"/>
    <xf numFmtId="0" fontId="5" fillId="3" borderId="1" xfId="0" applyFont="1" applyFill="1" applyBorder="1" applyAlignment="1">
      <alignment horizontal="center" wrapText="1"/>
    </xf>
    <xf numFmtId="0" fontId="15" fillId="0" borderId="1" xfId="0" applyFont="1" applyBorder="1" applyAlignment="1">
      <alignment wrapText="1"/>
    </xf>
    <xf numFmtId="0" fontId="15" fillId="0" borderId="1" xfId="0" applyFont="1" applyBorder="1"/>
    <xf numFmtId="0" fontId="2" fillId="0" borderId="1" xfId="0" applyFont="1" applyBorder="1"/>
    <xf numFmtId="0" fontId="18" fillId="0" borderId="0" xfId="0" applyFont="1"/>
    <xf numFmtId="164" fontId="0" fillId="0" borderId="0" xfId="0" applyNumberFormat="1"/>
    <xf numFmtId="0" fontId="2" fillId="0" borderId="7" xfId="0" applyFont="1" applyBorder="1"/>
    <xf numFmtId="0" fontId="3" fillId="0" borderId="7" xfId="0" applyFont="1" applyBorder="1"/>
    <xf numFmtId="164" fontId="17" fillId="0" borderId="7" xfId="0" applyNumberFormat="1" applyFont="1" applyBorder="1"/>
    <xf numFmtId="164" fontId="18" fillId="0" borderId="7" xfId="0" applyNumberFormat="1" applyFont="1" applyBorder="1"/>
    <xf numFmtId="0" fontId="2" fillId="0" borderId="7" xfId="0" applyFont="1" applyBorder="1" applyAlignment="1">
      <alignment wrapText="1"/>
    </xf>
    <xf numFmtId="0" fontId="2" fillId="2" borderId="7" xfId="0" applyFont="1" applyFill="1" applyBorder="1"/>
    <xf numFmtId="0" fontId="19" fillId="0" borderId="8" xfId="0" applyFont="1" applyBorder="1"/>
    <xf numFmtId="0" fontId="19" fillId="0" borderId="9" xfId="0" applyFont="1" applyBorder="1"/>
    <xf numFmtId="164" fontId="16" fillId="0" borderId="9" xfId="0" applyNumberFormat="1" applyFont="1" applyBorder="1"/>
    <xf numFmtId="164" fontId="16" fillId="0" borderId="0" xfId="0" applyNumberFormat="1" applyFont="1"/>
    <xf numFmtId="0" fontId="19" fillId="0" borderId="9" xfId="0" applyFont="1" applyBorder="1" applyAlignment="1">
      <alignment wrapText="1"/>
    </xf>
    <xf numFmtId="164" fontId="16" fillId="0" borderId="10" xfId="0" applyNumberFormat="1" applyFont="1" applyBorder="1"/>
    <xf numFmtId="164" fontId="19" fillId="0" borderId="9" xfId="0" applyNumberFormat="1" applyFont="1" applyBorder="1"/>
    <xf numFmtId="164" fontId="0" fillId="0" borderId="9" xfId="0" applyNumberFormat="1" applyBorder="1"/>
    <xf numFmtId="0" fontId="2" fillId="0" borderId="2" xfId="0" quotePrefix="1" applyFont="1" applyBorder="1"/>
    <xf numFmtId="0" fontId="8" fillId="0" borderId="3" xfId="0" applyFont="1" applyBorder="1"/>
    <xf numFmtId="0" fontId="8" fillId="0" borderId="4" xfId="0" applyFont="1" applyBorder="1"/>
    <xf numFmtId="0" fontId="2" fillId="0" borderId="2" xfId="0" applyFont="1" applyBorder="1"/>
    <xf numFmtId="0" fontId="2" fillId="0" borderId="2" xfId="0" quotePrefix="1" applyFont="1" applyBorder="1" applyAlignment="1">
      <alignment wrapText="1"/>
    </xf>
    <xf numFmtId="0" fontId="13" fillId="0" borderId="3" xfId="0" applyFont="1" applyBorder="1" applyAlignment="1">
      <alignment horizontal="center" wrapText="1"/>
    </xf>
    <xf numFmtId="0" fontId="5" fillId="3" borderId="2" xfId="0" applyFont="1" applyFill="1" applyBorder="1" applyAlignment="1">
      <alignment horizontal="center" wrapText="1"/>
    </xf>
    <xf numFmtId="0" fontId="14" fillId="3" borderId="5" xfId="0" applyFont="1" applyFill="1" applyBorder="1" applyAlignment="1">
      <alignment horizontal="center" wrapText="1"/>
    </xf>
    <xf numFmtId="0" fontId="8" fillId="0" borderId="5" xfId="0" applyFont="1" applyBorder="1"/>
    <xf numFmtId="0" fontId="8" fillId="0" borderId="6" xfId="0" applyFont="1" applyBorder="1"/>
    <xf numFmtId="0" fontId="4" fillId="3" borderId="2" xfId="0" applyFont="1" applyFill="1" applyBorder="1" applyAlignment="1">
      <alignment horizontal="center" wrapText="1"/>
    </xf>
    <xf numFmtId="0" fontId="6" fillId="0" borderId="2" xfId="0" applyFont="1" applyBorder="1" applyAlignment="1">
      <alignment horizontal="center" wrapText="1"/>
    </xf>
    <xf numFmtId="0" fontId="9" fillId="3" borderId="5" xfId="0" applyFont="1" applyFill="1" applyBorder="1" applyAlignment="1">
      <alignment horizontal="center" wrapText="1"/>
    </xf>
    <xf numFmtId="0" fontId="5" fillId="0" borderId="2" xfId="0" applyFont="1" applyBorder="1" applyAlignment="1">
      <alignment horizontal="center" wrapText="1"/>
    </xf>
    <xf numFmtId="0" fontId="4" fillId="0" borderId="2" xfId="0" applyFont="1" applyBorder="1" applyAlignment="1">
      <alignment horizontal="center" wrapText="1"/>
    </xf>
    <xf numFmtId="0" fontId="11" fillId="0" borderId="5" xfId="0" applyFont="1" applyBorder="1" applyAlignment="1">
      <alignment horizontal="center" wrapText="1"/>
    </xf>
    <xf numFmtId="0" fontId="12" fillId="0" borderId="5" xfId="0" applyFont="1" applyBorder="1" applyAlignment="1">
      <alignment horizontal="center" wrapText="1"/>
    </xf>
    <xf numFmtId="0" fontId="10" fillId="3" borderId="2" xfId="0" applyFont="1" applyFill="1" applyBorder="1" applyAlignment="1">
      <alignment horizontal="center" wrapText="1"/>
    </xf>
    <xf numFmtId="0" fontId="5" fillId="0" borderId="2" xfId="0" quotePrefix="1" applyFont="1" applyBorder="1" applyAlignment="1">
      <alignment horizontal="center" wrapText="1"/>
    </xf>
    <xf numFmtId="0" fontId="9" fillId="3" borderId="5" xfId="0" quotePrefix="1" applyFont="1" applyFill="1" applyBorder="1" applyAlignment="1">
      <alignment horizontal="center" wrapText="1"/>
    </xf>
    <xf numFmtId="0" fontId="11" fillId="0" borderId="5" xfId="0" quotePrefix="1" applyFont="1" applyBorder="1" applyAlignment="1">
      <alignment horizontal="center" wrapText="1"/>
    </xf>
    <xf numFmtId="0" fontId="5" fillId="3" borderId="2" xfId="0" quotePrefix="1" applyFont="1" applyFill="1" applyBorder="1" applyAlignment="1">
      <alignment horizontal="center" wrapText="1"/>
    </xf>
  </cellXfs>
  <cellStyles count="1">
    <cellStyle name="Normal" xfId="0" builtinId="0"/>
  </cellStyles>
  <dxfs count="20">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rgb="FF000000"/>
        <name val="Calibri"/>
        <family val="2"/>
        <scheme val="none"/>
      </font>
      <numFmt numFmtId="164" formatCode="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family val="2"/>
        <scheme val="none"/>
      </font>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1">
    <tableStyle name="ELC3020_50K22.2-style" pivot="0" count="3" xr9:uid="{00000000-0011-0000-FFFF-FFFF0000000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10/relationships/person" Target="persons/person0.xml"/><Relationship Id="rId5" Type="http://schemas.openxmlformats.org/officeDocument/2006/relationships/theme" Target="theme/theme1.xml"/><Relationship Id="rId10" Type="http://schemas.microsoft.com/office/2017/10/relationships/person" Target="persons/person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ersons/person0.xml><?xml version="1.0" encoding="utf-8"?>
<x18tc:personList xmlns:x18tc="http://schemas.microsoft.com/office/spreadsheetml/2018/threadedcomments"/>
</file>

<file path=xl/persons/person1.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62">
  <tableColumns count="17">
    <tableColumn id="1" xr3:uid="{00000000-0010-0000-0000-000001000000}" name="Lớp" dataDxfId="16"/>
    <tableColumn id="2" xr3:uid="{00000000-0010-0000-0000-000002000000}" name="Họ và tên đệm" dataDxfId="15"/>
    <tableColumn id="3" xr3:uid="{00000000-0010-0000-0000-000003000000}" name="Tên" dataDxfId="14"/>
    <tableColumn id="4" xr3:uid="{00000000-0010-0000-0000-000004000000}" name="MSSV" dataDxfId="13"/>
    <tableColumn id="5" xr3:uid="{00000000-0010-0000-0000-000005000000}" name="Điểm danh 1" dataDxfId="12"/>
    <tableColumn id="6" xr3:uid="{00000000-0010-0000-0000-000006000000}" name="Kiểm tra chương 1" dataDxfId="11"/>
    <tableColumn id="8" xr3:uid="{00000000-0010-0000-0000-000008000000}" name="Kiểm tra tiền xử lý dữ liệu" dataDxfId="10"/>
    <tableColumn id="10" xr3:uid="{00000000-0010-0000-0000-00000A000000}" name="Kiểm tra data mining" dataDxfId="9"/>
    <tableColumn id="12" xr3:uid="{00000000-0010-0000-0000-00000C000000}" name="Điểm cộng" dataDxfId="8"/>
    <tableColumn id="13" xr3:uid="{C1538ABC-5ED8-4E42-9737-43F1C3409491}" name="Thành phần 1" dataDxfId="7">
      <calculatedColumnFormula>SUM(Table_1[[#This Row],[Điểm danh 1]:[Điểm cộng]])/4</calculatedColumnFormula>
    </tableColumn>
    <tableColumn id="16" xr3:uid="{45D49050-8CBB-4D14-A62D-D99029CBF4D9}" name="Thành phần 1 chính thức (nếu Thành phần 1 &gt; 10 thì lấy 10)" dataDxfId="6">
      <calculatedColumnFormula>IF(Table_1[[#This Row],[Thành phần 1]]&gt;10,10,Table_1[[#This Row],[Thành phần 1]])</calculatedColumnFormula>
    </tableColumn>
    <tableColumn id="7" xr3:uid="{00000000-0010-0000-0000-000007000000}" name="Biểu đồ nâng cao (15% TP2)" dataDxfId="5"/>
    <tableColumn id="9" xr3:uid="{00000000-0010-0000-0000-000009000000}" name="Tư duy phân tích và xây dựng dashboard (15% TP2)" dataDxfId="4"/>
    <tableColumn id="11" xr3:uid="{00000000-0010-0000-0000-00000B000000}" name="Thi giữa kỳ (70% TP2)" dataDxfId="3"/>
    <tableColumn id="14" xr3:uid="{8FD812FB-EAAA-4C8A-9E04-F3340BCBDFFC}" name="Thành phần 2" dataDxfId="2">
      <calculatedColumnFormula>Table_1[[#This Row],[Biểu đồ nâng cao (15% TP2)]]*0.15+Table_1[[#This Row],[Tư duy phân tích và xây dựng dashboard (15% TP2)]]*0.15+Table_1[[#This Row],[Thi giữa kỳ (70% TP2)]]*0.7</calculatedColumnFormula>
    </tableColumn>
    <tableColumn id="17" xr3:uid="{6AA1DD32-03CD-46D6-9B22-AF71F5AC0370}" name="Điểm dư từ TP1 " dataDxfId="1">
      <calculatedColumnFormula>Table_1[[#This Row],[Thành phần 1]]-Table_1[[#This Row],[Thành phần 1 chính thức (nếu Thành phần 1 &gt; 10 thì lấy 10)]]</calculatedColumnFormula>
    </tableColumn>
    <tableColumn id="18" xr3:uid="{9D4BD81B-6848-48B3-B6E3-E98D38C0E695}" name="Thành phần 2 chính thức = Thành phần 2 + Điểm dư từ TP1/3" dataDxfId="0">
      <calculatedColumnFormula>Table_1[[#This Row],[Thành phần 2]]+Table_1[[#This Row],[Điểm dư từ TP1 ]]/3</calculatedColumnFormula>
    </tableColumn>
  </tableColumns>
  <tableStyleInfo name="ELC3020_50K22.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kaggle.com/code/pratyushpuri/asthma-disease-data-analysis/input" TargetMode="External"/><Relationship Id="rId3" Type="http://schemas.openxmlformats.org/officeDocument/2006/relationships/hyperlink" Target="https://www.kaggle.com/datasets/alperenmyung/international-hotel-booking-analytics/data?fbclid=IwY2xjawQomDxleHRuA2FlbQIxMABicmlkETFBMXdlVkIzcWJtWWRoYVdLc3J0YwZhcHBfaWQQMjIyMDM5MTc4ODIwMDg5MgABHqhz-KDUkEa2YnHjASv30V3uthiKvQN6skQMcDBrqdzIHB_-YNdst6444EI5_aem_I4VQqBbfhxKXqQXom71RKw" TargetMode="External"/><Relationship Id="rId7" Type="http://schemas.openxmlformats.org/officeDocument/2006/relationships/hyperlink" Target="https://www.kaggle.com/datasets/ngchno/vietnam-tour-bookings?fbclid=IwY2xjawQoguRleHRuA2FlbQIxMABicmlkETFsU203YTBOUm9xRHpabkpMc3J0YwZhcHBfaWQQMjIyMDM5MTc4ODIwMDg5MgABHvJflzYGh3HSqXfujlAiZiBs_v2sCkeThLIFhk0rseCxRg7Eu_re9pVhzFkk_aem_szZV-ueo8H-cFaK8JrHjzA" TargetMode="External"/><Relationship Id="rId2" Type="http://schemas.openxmlformats.org/officeDocument/2006/relationships/hyperlink" Target="https://www.kaggle.com/datasets/ihormuliar/starbucks-customer-data" TargetMode="External"/><Relationship Id="rId1" Type="http://schemas.openxmlformats.org/officeDocument/2006/relationships/hyperlink" Target="https://www.kaggle.com/datasets/ashyou09/apple-global-product-sales-dataset" TargetMode="External"/><Relationship Id="rId6" Type="http://schemas.openxmlformats.org/officeDocument/2006/relationships/hyperlink" Target="https://www.kaggle.com/datasets/heemalichaudhari/adidas-sales-dataset" TargetMode="External"/><Relationship Id="rId11" Type="http://schemas.openxmlformats.org/officeDocument/2006/relationships/hyperlink" Target="https://www.kaggle.com/datasets/anandaramg/taxi-trip-data-nyc?fbclid=IwY2xjawQkisFleHRuA2FlbQIxMABicmlkETFEQkpjanY4NnhGNnpacFVLc3J0YwZhcHBfaWQQMjIyMDM5MTc4ODIwMDg5MgABHoWLF3QL_USW8mfBSBCeabmO5F4l9kpWFFmRRbJ4QMSPSa5BlmKw3fwwdejs_aem_dHDfQGJY6lY0dDJ73QWoWw" TargetMode="External"/><Relationship Id="rId5" Type="http://schemas.openxmlformats.org/officeDocument/2006/relationships/hyperlink" Target="https://www.kaggle.com/datasets/abdallahwagih/telco-customer-churn/data" TargetMode="External"/><Relationship Id="rId10" Type="http://schemas.openxmlformats.org/officeDocument/2006/relationships/hyperlink" Target="https://www.kaggle.com/datasets/teejmahal20/airline-passenger-satisfaction?select=train.csv" TargetMode="External"/><Relationship Id="rId4" Type="http://schemas.openxmlformats.org/officeDocument/2006/relationships/hyperlink" Target="https://www.kaggle.com/datasets/shashwatwork/dataco-smart-supply-chain-for-big-data-analysis" TargetMode="External"/><Relationship Id="rId9" Type="http://schemas.openxmlformats.org/officeDocument/2006/relationships/hyperlink" Target="https://www.kaggle.com/datasets/ziya07/smart-logistics-supply-chain-dataset?fbclid=IwY2xjawPnD3tleHRuA2FlbQIxMABicmlkETFhWU1lMG41d3FwU1ZXQUI5c3J0YwZhcHBfaWQQMjIyMDM5MTc4ODIwMDg5MgABHmejUVv27VPHrxlFx7qK4fKG1lh2_IRC4PHKIdbRCBnQTDuYj-dNedksQEL9_aem_2FWC8y-YyCGKdIQ4fLfbP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topLeftCell="A49" workbookViewId="0">
      <pane xSplit="3" topLeftCell="K1" activePane="topRight" state="frozen"/>
      <selection pane="topRight" activeCell="N67" sqref="N67"/>
    </sheetView>
  </sheetViews>
  <sheetFormatPr defaultColWidth="14.453125" defaultRowHeight="15" customHeight="1"/>
  <cols>
    <col min="1" max="1" width="9.26953125" customWidth="1"/>
    <col min="2" max="2" width="20.7265625" customWidth="1"/>
    <col min="3" max="3" width="11.7265625" customWidth="1"/>
    <col min="4" max="4" width="15" customWidth="1"/>
    <col min="5" max="5" width="12.81640625" customWidth="1"/>
    <col min="6" max="6" width="19.453125" customWidth="1"/>
    <col min="7" max="7" width="18" customWidth="1"/>
    <col min="8" max="8" width="17.26953125" customWidth="1"/>
    <col min="9" max="9" width="11.453125" customWidth="1"/>
    <col min="10" max="11" width="17.26953125" style="21" customWidth="1"/>
    <col min="12" max="12" width="19" customWidth="1"/>
    <col min="15" max="15" width="14.453125" style="22"/>
    <col min="16" max="16" width="14.453125" style="21" customWidth="1"/>
    <col min="17" max="17" width="19" style="22" customWidth="1"/>
    <col min="18" max="37" width="8.7265625" customWidth="1"/>
  </cols>
  <sheetData>
    <row r="1" spans="1:17" ht="14.25" customHeight="1">
      <c r="A1" s="29" t="s">
        <v>304</v>
      </c>
      <c r="B1" s="30" t="s">
        <v>305</v>
      </c>
      <c r="C1" s="30" t="s">
        <v>306</v>
      </c>
      <c r="D1" s="1" t="s">
        <v>303</v>
      </c>
      <c r="E1" s="30" t="s">
        <v>307</v>
      </c>
      <c r="F1" s="30" t="s">
        <v>308</v>
      </c>
      <c r="G1" s="30" t="s">
        <v>309</v>
      </c>
      <c r="H1" s="30" t="s">
        <v>310</v>
      </c>
      <c r="I1" s="30" t="s">
        <v>311</v>
      </c>
      <c r="J1" s="31" t="s">
        <v>312</v>
      </c>
      <c r="K1" s="32" t="s">
        <v>314</v>
      </c>
      <c r="L1" s="30" t="s">
        <v>315</v>
      </c>
      <c r="M1" s="33" t="s">
        <v>316</v>
      </c>
      <c r="N1" s="30" t="s">
        <v>317</v>
      </c>
      <c r="O1" s="34" t="s">
        <v>313</v>
      </c>
      <c r="P1" s="35" t="s">
        <v>318</v>
      </c>
      <c r="Q1" s="34" t="s">
        <v>319</v>
      </c>
    </row>
    <row r="2" spans="1:17" ht="14.25" customHeight="1">
      <c r="A2" s="23" t="s">
        <v>0</v>
      </c>
      <c r="B2" s="23" t="s">
        <v>1</v>
      </c>
      <c r="C2" s="23" t="s">
        <v>2</v>
      </c>
      <c r="D2" s="23" t="s">
        <v>3</v>
      </c>
      <c r="E2" s="23">
        <v>10</v>
      </c>
      <c r="F2" s="23">
        <v>9</v>
      </c>
      <c r="G2" s="23">
        <v>7</v>
      </c>
      <c r="H2" s="24">
        <v>8</v>
      </c>
      <c r="I2" s="23"/>
      <c r="J2" s="25">
        <f>SUM(Table_1[[#This Row],[Điểm danh 1]:[Điểm cộng]])/4</f>
        <v>8.5</v>
      </c>
      <c r="K2" s="25">
        <f>IF(Table_1[[#This Row],[Thành phần 1]]&gt;10,10,Table_1[[#This Row],[Thành phần 1]])</f>
        <v>8.5</v>
      </c>
      <c r="L2" s="23">
        <v>9</v>
      </c>
      <c r="M2" s="23">
        <v>8.6999999999999993</v>
      </c>
      <c r="N2" s="23">
        <v>6.5</v>
      </c>
      <c r="O2" s="26">
        <f>Table_1[[#This Row],[Biểu đồ nâng cao (15% TP2)]]*0.15+Table_1[[#This Row],[Tư duy phân tích và xây dựng dashboard (15% TP2)]]*0.15+Table_1[[#This Row],[Thi giữa kỳ (70% TP2)]]*0.7</f>
        <v>7.2050000000000001</v>
      </c>
      <c r="P2" s="36">
        <f>Table_1[[#This Row],[Thành phần 1]]-Table_1[[#This Row],[Thành phần 1 chính thức (nếu Thành phần 1 &gt; 10 thì lấy 10)]]</f>
        <v>0</v>
      </c>
      <c r="Q2" s="36">
        <f>Table_1[[#This Row],[Thành phần 2]]+Table_1[[#This Row],[Điểm dư từ TP1 ]]/3</f>
        <v>7.2050000000000001</v>
      </c>
    </row>
    <row r="3" spans="1:17" ht="14.25" customHeight="1">
      <c r="A3" s="23" t="s">
        <v>4</v>
      </c>
      <c r="B3" s="23" t="s">
        <v>5</v>
      </c>
      <c r="C3" s="23" t="s">
        <v>6</v>
      </c>
      <c r="D3" s="23" t="s">
        <v>7</v>
      </c>
      <c r="E3" s="23">
        <v>0</v>
      </c>
      <c r="F3" s="23">
        <v>0</v>
      </c>
      <c r="G3" s="23">
        <v>0</v>
      </c>
      <c r="H3" s="23">
        <v>0</v>
      </c>
      <c r="I3" s="23"/>
      <c r="J3" s="25">
        <f>SUM(Table_1[[#This Row],[Điểm danh 1]:[Điểm cộng]])/4</f>
        <v>0</v>
      </c>
      <c r="K3" s="25">
        <f>IF(Table_1[[#This Row],[Thành phần 1]]&gt;10,10,Table_1[[#This Row],[Thành phần 1]])</f>
        <v>0</v>
      </c>
      <c r="L3" s="23">
        <v>0</v>
      </c>
      <c r="M3" s="23">
        <v>0</v>
      </c>
      <c r="N3" s="23"/>
      <c r="O3" s="26">
        <f>Table_1[[#This Row],[Biểu đồ nâng cao (15% TP2)]]*0.15+Table_1[[#This Row],[Tư duy phân tích và xây dựng dashboard (15% TP2)]]*0.15+Table_1[[#This Row],[Thi giữa kỳ (70% TP2)]]*0.7</f>
        <v>0</v>
      </c>
      <c r="P3" s="36">
        <f>Table_1[[#This Row],[Thành phần 1]]-Table_1[[#This Row],[Thành phần 1 chính thức (nếu Thành phần 1 &gt; 10 thì lấy 10)]]</f>
        <v>0</v>
      </c>
      <c r="Q3" s="36">
        <f>Table_1[[#This Row],[Thành phần 2]]+Table_1[[#This Row],[Điểm dư từ TP1 ]]/3</f>
        <v>0</v>
      </c>
    </row>
    <row r="4" spans="1:17" ht="14.25" customHeight="1">
      <c r="A4" s="23" t="s">
        <v>4</v>
      </c>
      <c r="B4" s="23" t="s">
        <v>8</v>
      </c>
      <c r="C4" s="23" t="s">
        <v>9</v>
      </c>
      <c r="D4" s="23" t="s">
        <v>10</v>
      </c>
      <c r="E4" s="23">
        <v>10</v>
      </c>
      <c r="F4" s="23">
        <v>9</v>
      </c>
      <c r="G4" s="23">
        <v>10</v>
      </c>
      <c r="H4" s="24">
        <v>8.5</v>
      </c>
      <c r="I4" s="23"/>
      <c r="J4" s="25">
        <f>SUM(Table_1[[#This Row],[Điểm danh 1]:[Điểm cộng]])/4</f>
        <v>9.375</v>
      </c>
      <c r="K4" s="25">
        <f>IF(Table_1[[#This Row],[Thành phần 1]]&gt;10,10,Table_1[[#This Row],[Thành phần 1]])</f>
        <v>9.375</v>
      </c>
      <c r="L4" s="23">
        <v>8.3000000000000007</v>
      </c>
      <c r="M4" s="23">
        <v>8.6999999999999993</v>
      </c>
      <c r="N4" s="23">
        <v>8.6999999999999993</v>
      </c>
      <c r="O4" s="26">
        <f>Table_1[[#This Row],[Biểu đồ nâng cao (15% TP2)]]*0.15+Table_1[[#This Row],[Tư duy phân tích và xây dựng dashboard (15% TP2)]]*0.15+Table_1[[#This Row],[Thi giữa kỳ (70% TP2)]]*0.7</f>
        <v>8.6399999999999988</v>
      </c>
      <c r="P4" s="36">
        <f>Table_1[[#This Row],[Thành phần 1]]-Table_1[[#This Row],[Thành phần 1 chính thức (nếu Thành phần 1 &gt; 10 thì lấy 10)]]</f>
        <v>0</v>
      </c>
      <c r="Q4" s="36">
        <f>Table_1[[#This Row],[Thành phần 2]]+Table_1[[#This Row],[Điểm dư từ TP1 ]]/3</f>
        <v>8.6399999999999988</v>
      </c>
    </row>
    <row r="5" spans="1:17" ht="14.25" customHeight="1">
      <c r="A5" s="23" t="s">
        <v>4</v>
      </c>
      <c r="B5" s="23" t="s">
        <v>11</v>
      </c>
      <c r="C5" s="23" t="s">
        <v>12</v>
      </c>
      <c r="D5" s="23" t="s">
        <v>13</v>
      </c>
      <c r="E5" s="23">
        <v>10</v>
      </c>
      <c r="F5" s="23">
        <v>9.5</v>
      </c>
      <c r="G5" s="23">
        <v>9.5</v>
      </c>
      <c r="H5" s="24">
        <v>8</v>
      </c>
      <c r="I5" s="23"/>
      <c r="J5" s="25">
        <f>SUM(Table_1[[#This Row],[Điểm danh 1]:[Điểm cộng]])/4</f>
        <v>9.25</v>
      </c>
      <c r="K5" s="25">
        <f>IF(Table_1[[#This Row],[Thành phần 1]]&gt;10,10,Table_1[[#This Row],[Thành phần 1]])</f>
        <v>9.25</v>
      </c>
      <c r="L5" s="23">
        <v>8.3000000000000007</v>
      </c>
      <c r="M5" s="23">
        <v>8.6999999999999993</v>
      </c>
      <c r="N5" s="23">
        <v>8.6999999999999993</v>
      </c>
      <c r="O5" s="26">
        <f>Table_1[[#This Row],[Biểu đồ nâng cao (15% TP2)]]*0.15+Table_1[[#This Row],[Tư duy phân tích và xây dựng dashboard (15% TP2)]]*0.15+Table_1[[#This Row],[Thi giữa kỳ (70% TP2)]]*0.7</f>
        <v>8.6399999999999988</v>
      </c>
      <c r="P5" s="36">
        <f>Table_1[[#This Row],[Thành phần 1]]-Table_1[[#This Row],[Thành phần 1 chính thức (nếu Thành phần 1 &gt; 10 thì lấy 10)]]</f>
        <v>0</v>
      </c>
      <c r="Q5" s="36">
        <f>Table_1[[#This Row],[Thành phần 2]]+Table_1[[#This Row],[Điểm dư từ TP1 ]]/3</f>
        <v>8.6399999999999988</v>
      </c>
    </row>
    <row r="6" spans="1:17" ht="14.25" customHeight="1">
      <c r="A6" s="23" t="s">
        <v>4</v>
      </c>
      <c r="B6" s="23" t="s">
        <v>14</v>
      </c>
      <c r="C6" s="23" t="s">
        <v>15</v>
      </c>
      <c r="D6" s="23" t="s">
        <v>16</v>
      </c>
      <c r="E6" s="23">
        <v>10</v>
      </c>
      <c r="F6" s="23">
        <v>8.5</v>
      </c>
      <c r="G6" s="23">
        <v>7</v>
      </c>
      <c r="H6" s="24">
        <v>7</v>
      </c>
      <c r="I6" s="23"/>
      <c r="J6" s="25">
        <f>SUM(Table_1[[#This Row],[Điểm danh 1]:[Điểm cộng]])/4</f>
        <v>8.125</v>
      </c>
      <c r="K6" s="25">
        <f>IF(Table_1[[#This Row],[Thành phần 1]]&gt;10,10,Table_1[[#This Row],[Thành phần 1]])</f>
        <v>8.125</v>
      </c>
      <c r="L6" s="23">
        <v>8.3000000000000007</v>
      </c>
      <c r="M6" s="23">
        <v>8.6999999999999993</v>
      </c>
      <c r="N6" s="23">
        <v>8.6999999999999993</v>
      </c>
      <c r="O6" s="26">
        <f>Table_1[[#This Row],[Biểu đồ nâng cao (15% TP2)]]*0.15+Table_1[[#This Row],[Tư duy phân tích và xây dựng dashboard (15% TP2)]]*0.15+Table_1[[#This Row],[Thi giữa kỳ (70% TP2)]]*0.7</f>
        <v>8.6399999999999988</v>
      </c>
      <c r="P6" s="36">
        <f>Table_1[[#This Row],[Thành phần 1]]-Table_1[[#This Row],[Thành phần 1 chính thức (nếu Thành phần 1 &gt; 10 thì lấy 10)]]</f>
        <v>0</v>
      </c>
      <c r="Q6" s="36">
        <f>Table_1[[#This Row],[Thành phần 2]]+Table_1[[#This Row],[Điểm dư từ TP1 ]]/3</f>
        <v>8.6399999999999988</v>
      </c>
    </row>
    <row r="7" spans="1:17" ht="14.25" customHeight="1">
      <c r="A7" s="23" t="s">
        <v>4</v>
      </c>
      <c r="B7" s="23" t="s">
        <v>17</v>
      </c>
      <c r="C7" s="23" t="s">
        <v>2</v>
      </c>
      <c r="D7" s="23" t="s">
        <v>18</v>
      </c>
      <c r="E7" s="23">
        <v>10</v>
      </c>
      <c r="F7" s="23">
        <v>10</v>
      </c>
      <c r="G7" s="23">
        <v>9.5</v>
      </c>
      <c r="H7" s="24">
        <v>8.5</v>
      </c>
      <c r="I7" s="23"/>
      <c r="J7" s="25">
        <f>SUM(Table_1[[#This Row],[Điểm danh 1]:[Điểm cộng]])/4</f>
        <v>9.5</v>
      </c>
      <c r="K7" s="25">
        <f>IF(Table_1[[#This Row],[Thành phần 1]]&gt;10,10,Table_1[[#This Row],[Thành phần 1]])</f>
        <v>9.5</v>
      </c>
      <c r="L7" s="23">
        <v>8.3000000000000007</v>
      </c>
      <c r="M7" s="23">
        <v>8.6999999999999993</v>
      </c>
      <c r="N7" s="23">
        <v>8.6999999999999993</v>
      </c>
      <c r="O7" s="26">
        <f>Table_1[[#This Row],[Biểu đồ nâng cao (15% TP2)]]*0.15+Table_1[[#This Row],[Tư duy phân tích và xây dựng dashboard (15% TP2)]]*0.15+Table_1[[#This Row],[Thi giữa kỳ (70% TP2)]]*0.7</f>
        <v>8.6399999999999988</v>
      </c>
      <c r="P7" s="36">
        <f>Table_1[[#This Row],[Thành phần 1]]-Table_1[[#This Row],[Thành phần 1 chính thức (nếu Thành phần 1 &gt; 10 thì lấy 10)]]</f>
        <v>0</v>
      </c>
      <c r="Q7" s="36">
        <f>Table_1[[#This Row],[Thành phần 2]]+Table_1[[#This Row],[Điểm dư từ TP1 ]]/3</f>
        <v>8.6399999999999988</v>
      </c>
    </row>
    <row r="8" spans="1:17" ht="14.25" customHeight="1">
      <c r="A8" s="23" t="s">
        <v>19</v>
      </c>
      <c r="B8" s="23" t="s">
        <v>20</v>
      </c>
      <c r="C8" s="23" t="s">
        <v>21</v>
      </c>
      <c r="D8" s="23" t="s">
        <v>22</v>
      </c>
      <c r="E8" s="23">
        <v>10</v>
      </c>
      <c r="F8" s="23">
        <v>10</v>
      </c>
      <c r="G8" s="23">
        <v>9</v>
      </c>
      <c r="H8" s="24">
        <v>9</v>
      </c>
      <c r="I8" s="23">
        <v>3</v>
      </c>
      <c r="J8" s="25">
        <f>SUM(Table_1[[#This Row],[Điểm danh 1]:[Điểm cộng]])/4</f>
        <v>10.25</v>
      </c>
      <c r="K8" s="25">
        <f>IF(Table_1[[#This Row],[Thành phần 1]]&gt;10,10,Table_1[[#This Row],[Thành phần 1]])</f>
        <v>10</v>
      </c>
      <c r="L8" s="23">
        <v>7.7</v>
      </c>
      <c r="M8" s="23">
        <v>8.6999999999999993</v>
      </c>
      <c r="N8" s="23">
        <v>6.5</v>
      </c>
      <c r="O8" s="26">
        <f>Table_1[[#This Row],[Biểu đồ nâng cao (15% TP2)]]*0.15+Table_1[[#This Row],[Tư duy phân tích và xây dựng dashboard (15% TP2)]]*0.15+Table_1[[#This Row],[Thi giữa kỳ (70% TP2)]]*0.7</f>
        <v>7.01</v>
      </c>
      <c r="P8" s="36">
        <f>Table_1[[#This Row],[Thành phần 1]]-Table_1[[#This Row],[Thành phần 1 chính thức (nếu Thành phần 1 &gt; 10 thì lấy 10)]]</f>
        <v>0.25</v>
      </c>
      <c r="Q8" s="36">
        <f>Table_1[[#This Row],[Thành phần 2]]+Table_1[[#This Row],[Điểm dư từ TP1 ]]/3</f>
        <v>7.0933333333333328</v>
      </c>
    </row>
    <row r="9" spans="1:17" ht="14.25" customHeight="1">
      <c r="A9" s="23" t="s">
        <v>19</v>
      </c>
      <c r="B9" s="23" t="s">
        <v>23</v>
      </c>
      <c r="C9" s="23" t="s">
        <v>24</v>
      </c>
      <c r="D9" s="23" t="s">
        <v>25</v>
      </c>
      <c r="E9" s="23">
        <v>10</v>
      </c>
      <c r="F9" s="23">
        <v>10</v>
      </c>
      <c r="G9" s="23">
        <v>8.5</v>
      </c>
      <c r="H9" s="24">
        <v>7.5</v>
      </c>
      <c r="I9" s="23"/>
      <c r="J9" s="25">
        <f>SUM(Table_1[[#This Row],[Điểm danh 1]:[Điểm cộng]])/4</f>
        <v>9</v>
      </c>
      <c r="K9" s="25">
        <f>IF(Table_1[[#This Row],[Thành phần 1]]&gt;10,10,Table_1[[#This Row],[Thành phần 1]])</f>
        <v>9</v>
      </c>
      <c r="L9" s="23">
        <v>7.7</v>
      </c>
      <c r="M9" s="23">
        <v>8.6999999999999993</v>
      </c>
      <c r="N9" s="23">
        <v>6.5</v>
      </c>
      <c r="O9" s="26">
        <f>Table_1[[#This Row],[Biểu đồ nâng cao (15% TP2)]]*0.15+Table_1[[#This Row],[Tư duy phân tích và xây dựng dashboard (15% TP2)]]*0.15+Table_1[[#This Row],[Thi giữa kỳ (70% TP2)]]*0.7</f>
        <v>7.01</v>
      </c>
      <c r="P9" s="36">
        <f>Table_1[[#This Row],[Thành phần 1]]-Table_1[[#This Row],[Thành phần 1 chính thức (nếu Thành phần 1 &gt; 10 thì lấy 10)]]</f>
        <v>0</v>
      </c>
      <c r="Q9" s="36">
        <f>Table_1[[#This Row],[Thành phần 2]]+Table_1[[#This Row],[Điểm dư từ TP1 ]]/3</f>
        <v>7.01</v>
      </c>
    </row>
    <row r="10" spans="1:17" ht="14.25" customHeight="1">
      <c r="A10" s="23" t="s">
        <v>26</v>
      </c>
      <c r="B10" s="23" t="s">
        <v>27</v>
      </c>
      <c r="C10" s="23" t="s">
        <v>28</v>
      </c>
      <c r="D10" s="23" t="s">
        <v>29</v>
      </c>
      <c r="E10" s="23">
        <v>10</v>
      </c>
      <c r="F10" s="23">
        <v>10</v>
      </c>
      <c r="G10" s="23">
        <v>8</v>
      </c>
      <c r="H10" s="27">
        <v>0</v>
      </c>
      <c r="I10" s="23"/>
      <c r="J10" s="25">
        <f>SUM(Table_1[[#This Row],[Điểm danh 1]:[Điểm cộng]])/4</f>
        <v>7</v>
      </c>
      <c r="K10" s="25">
        <f>IF(Table_1[[#This Row],[Thành phần 1]]&gt;10,10,Table_1[[#This Row],[Thành phần 1]])</f>
        <v>7</v>
      </c>
      <c r="L10" s="23">
        <v>8.3000000000000007</v>
      </c>
      <c r="M10" s="23">
        <v>8.1</v>
      </c>
      <c r="N10" s="23">
        <v>8</v>
      </c>
      <c r="O10" s="26">
        <f>Table_1[[#This Row],[Biểu đồ nâng cao (15% TP2)]]*0.15+Table_1[[#This Row],[Tư duy phân tích và xây dựng dashboard (15% TP2)]]*0.15+Table_1[[#This Row],[Thi giữa kỳ (70% TP2)]]*0.7</f>
        <v>8.0599999999999987</v>
      </c>
      <c r="P10" s="36">
        <f>Table_1[[#This Row],[Thành phần 1]]-Table_1[[#This Row],[Thành phần 1 chính thức (nếu Thành phần 1 &gt; 10 thì lấy 10)]]</f>
        <v>0</v>
      </c>
      <c r="Q10" s="36">
        <f>Table_1[[#This Row],[Thành phần 2]]+Table_1[[#This Row],[Điểm dư từ TP1 ]]/3</f>
        <v>8.0599999999999987</v>
      </c>
    </row>
    <row r="11" spans="1:17" ht="14.25" customHeight="1">
      <c r="A11" s="23" t="s">
        <v>26</v>
      </c>
      <c r="B11" s="23" t="s">
        <v>30</v>
      </c>
      <c r="C11" s="23" t="s">
        <v>31</v>
      </c>
      <c r="D11" s="23" t="s">
        <v>32</v>
      </c>
      <c r="E11" s="23">
        <v>10</v>
      </c>
      <c r="F11" s="23">
        <v>9</v>
      </c>
      <c r="G11" s="23">
        <v>9</v>
      </c>
      <c r="H11" s="24">
        <v>8</v>
      </c>
      <c r="I11" s="23"/>
      <c r="J11" s="25">
        <f>SUM(Table_1[[#This Row],[Điểm danh 1]:[Điểm cộng]])/4</f>
        <v>9</v>
      </c>
      <c r="K11" s="25">
        <f>IF(Table_1[[#This Row],[Thành phần 1]]&gt;10,10,Table_1[[#This Row],[Thành phần 1]])</f>
        <v>9</v>
      </c>
      <c r="L11" s="23">
        <v>8.3000000000000007</v>
      </c>
      <c r="M11" s="23">
        <v>7.5</v>
      </c>
      <c r="N11" s="23">
        <v>8.3000000000000007</v>
      </c>
      <c r="O11" s="26">
        <f>Table_1[[#This Row],[Biểu đồ nâng cao (15% TP2)]]*0.15+Table_1[[#This Row],[Tư duy phân tích và xây dựng dashboard (15% TP2)]]*0.15+Table_1[[#This Row],[Thi giữa kỳ (70% TP2)]]*0.7</f>
        <v>8.18</v>
      </c>
      <c r="P11" s="36">
        <f>Table_1[[#This Row],[Thành phần 1]]-Table_1[[#This Row],[Thành phần 1 chính thức (nếu Thành phần 1 &gt; 10 thì lấy 10)]]</f>
        <v>0</v>
      </c>
      <c r="Q11" s="36">
        <f>Table_1[[#This Row],[Thành phần 2]]+Table_1[[#This Row],[Điểm dư từ TP1 ]]/3</f>
        <v>8.18</v>
      </c>
    </row>
    <row r="12" spans="1:17" ht="14.25" customHeight="1">
      <c r="A12" s="23" t="s">
        <v>26</v>
      </c>
      <c r="B12" s="23" t="s">
        <v>33</v>
      </c>
      <c r="C12" s="23" t="s">
        <v>34</v>
      </c>
      <c r="D12" s="23" t="s">
        <v>35</v>
      </c>
      <c r="E12" s="23">
        <v>10</v>
      </c>
      <c r="F12" s="23">
        <v>8.5</v>
      </c>
      <c r="G12" s="23">
        <v>9</v>
      </c>
      <c r="H12" s="24">
        <v>10</v>
      </c>
      <c r="I12" s="23"/>
      <c r="J12" s="25">
        <f>SUM(Table_1[[#This Row],[Điểm danh 1]:[Điểm cộng]])/4</f>
        <v>9.375</v>
      </c>
      <c r="K12" s="25">
        <f>IF(Table_1[[#This Row],[Thành phần 1]]&gt;10,10,Table_1[[#This Row],[Thành phần 1]])</f>
        <v>9.375</v>
      </c>
      <c r="L12" s="23">
        <v>8.3000000000000007</v>
      </c>
      <c r="M12" s="23">
        <v>8.1</v>
      </c>
      <c r="N12" s="23">
        <v>8</v>
      </c>
      <c r="O12" s="26">
        <f>Table_1[[#This Row],[Biểu đồ nâng cao (15% TP2)]]*0.15+Table_1[[#This Row],[Tư duy phân tích và xây dựng dashboard (15% TP2)]]*0.15+Table_1[[#This Row],[Thi giữa kỳ (70% TP2)]]*0.7</f>
        <v>8.0599999999999987</v>
      </c>
      <c r="P12" s="36">
        <f>Table_1[[#This Row],[Thành phần 1]]-Table_1[[#This Row],[Thành phần 1 chính thức (nếu Thành phần 1 &gt; 10 thì lấy 10)]]</f>
        <v>0</v>
      </c>
      <c r="Q12" s="36">
        <f>Table_1[[#This Row],[Thành phần 2]]+Table_1[[#This Row],[Điểm dư từ TP1 ]]/3</f>
        <v>8.0599999999999987</v>
      </c>
    </row>
    <row r="13" spans="1:17" ht="14.25" customHeight="1">
      <c r="A13" s="23" t="s">
        <v>26</v>
      </c>
      <c r="B13" s="23" t="s">
        <v>36</v>
      </c>
      <c r="C13" s="23" t="s">
        <v>37</v>
      </c>
      <c r="D13" s="23" t="s">
        <v>38</v>
      </c>
      <c r="E13" s="23">
        <v>10</v>
      </c>
      <c r="F13" s="23">
        <v>10</v>
      </c>
      <c r="G13" s="23">
        <v>9</v>
      </c>
      <c r="H13" s="24">
        <v>7.5</v>
      </c>
      <c r="I13" s="23"/>
      <c r="J13" s="25">
        <f>SUM(Table_1[[#This Row],[Điểm danh 1]:[Điểm cộng]])/4</f>
        <v>9.125</v>
      </c>
      <c r="K13" s="25">
        <f>IF(Table_1[[#This Row],[Thành phần 1]]&gt;10,10,Table_1[[#This Row],[Thành phần 1]])</f>
        <v>9.125</v>
      </c>
      <c r="L13" s="23">
        <v>8.3000000000000007</v>
      </c>
      <c r="M13" s="23">
        <v>8.1</v>
      </c>
      <c r="N13" s="23">
        <v>8</v>
      </c>
      <c r="O13" s="26">
        <f>Table_1[[#This Row],[Biểu đồ nâng cao (15% TP2)]]*0.15+Table_1[[#This Row],[Tư duy phân tích và xây dựng dashboard (15% TP2)]]*0.15+Table_1[[#This Row],[Thi giữa kỳ (70% TP2)]]*0.7</f>
        <v>8.0599999999999987</v>
      </c>
      <c r="P13" s="36">
        <f>Table_1[[#This Row],[Thành phần 1]]-Table_1[[#This Row],[Thành phần 1 chính thức (nếu Thành phần 1 &gt; 10 thì lấy 10)]]</f>
        <v>0</v>
      </c>
      <c r="Q13" s="36">
        <f>Table_1[[#This Row],[Thành phần 2]]+Table_1[[#This Row],[Điểm dư từ TP1 ]]/3</f>
        <v>8.0599999999999987</v>
      </c>
    </row>
    <row r="14" spans="1:17" ht="14.25" customHeight="1">
      <c r="A14" s="23" t="s">
        <v>26</v>
      </c>
      <c r="B14" s="23" t="s">
        <v>39</v>
      </c>
      <c r="C14" s="23" t="s">
        <v>40</v>
      </c>
      <c r="D14" s="23" t="s">
        <v>41</v>
      </c>
      <c r="E14" s="23">
        <v>10</v>
      </c>
      <c r="F14" s="23">
        <v>9</v>
      </c>
      <c r="G14" s="23">
        <v>3.5</v>
      </c>
      <c r="H14" s="24">
        <v>8.5</v>
      </c>
      <c r="I14" s="23"/>
      <c r="J14" s="25">
        <f>SUM(Table_1[[#This Row],[Điểm danh 1]:[Điểm cộng]])/4</f>
        <v>7.75</v>
      </c>
      <c r="K14" s="25">
        <f>IF(Table_1[[#This Row],[Thành phần 1]]&gt;10,10,Table_1[[#This Row],[Thành phần 1]])</f>
        <v>7.75</v>
      </c>
      <c r="L14" s="23">
        <v>8.3000000000000007</v>
      </c>
      <c r="M14" s="23">
        <v>8.1</v>
      </c>
      <c r="N14" s="23">
        <v>8</v>
      </c>
      <c r="O14" s="26">
        <f>Table_1[[#This Row],[Biểu đồ nâng cao (15% TP2)]]*0.15+Table_1[[#This Row],[Tư duy phân tích và xây dựng dashboard (15% TP2)]]*0.15+Table_1[[#This Row],[Thi giữa kỳ (70% TP2)]]*0.7</f>
        <v>8.0599999999999987</v>
      </c>
      <c r="P14" s="36">
        <f>Table_1[[#This Row],[Thành phần 1]]-Table_1[[#This Row],[Thành phần 1 chính thức (nếu Thành phần 1 &gt; 10 thì lấy 10)]]</f>
        <v>0</v>
      </c>
      <c r="Q14" s="36">
        <f>Table_1[[#This Row],[Thành phần 2]]+Table_1[[#This Row],[Điểm dư từ TP1 ]]/3</f>
        <v>8.0599999999999987</v>
      </c>
    </row>
    <row r="15" spans="1:17" ht="14.25" customHeight="1">
      <c r="A15" s="23" t="s">
        <v>42</v>
      </c>
      <c r="B15" s="23" t="s">
        <v>43</v>
      </c>
      <c r="C15" s="23" t="s">
        <v>28</v>
      </c>
      <c r="D15" s="23" t="s">
        <v>44</v>
      </c>
      <c r="E15" s="23">
        <v>10</v>
      </c>
      <c r="F15" s="23">
        <v>10</v>
      </c>
      <c r="G15" s="23">
        <v>10</v>
      </c>
      <c r="H15" s="24">
        <v>8.5</v>
      </c>
      <c r="I15" s="23"/>
      <c r="J15" s="25">
        <f>SUM(Table_1[[#This Row],[Điểm danh 1]:[Điểm cộng]])/4</f>
        <v>9.625</v>
      </c>
      <c r="K15" s="25">
        <f>IF(Table_1[[#This Row],[Thành phần 1]]&gt;10,10,Table_1[[#This Row],[Thành phần 1]])</f>
        <v>9.625</v>
      </c>
      <c r="L15" s="23">
        <v>7.7</v>
      </c>
      <c r="M15" s="23">
        <v>8.6999999999999993</v>
      </c>
      <c r="N15" s="23">
        <v>6.5</v>
      </c>
      <c r="O15" s="26">
        <f>Table_1[[#This Row],[Biểu đồ nâng cao (15% TP2)]]*0.15+Table_1[[#This Row],[Tư duy phân tích và xây dựng dashboard (15% TP2)]]*0.15+Table_1[[#This Row],[Thi giữa kỳ (70% TP2)]]*0.7</f>
        <v>7.01</v>
      </c>
      <c r="P15" s="36">
        <f>Table_1[[#This Row],[Thành phần 1]]-Table_1[[#This Row],[Thành phần 1 chính thức (nếu Thành phần 1 &gt; 10 thì lấy 10)]]</f>
        <v>0</v>
      </c>
      <c r="Q15" s="36">
        <f>Table_1[[#This Row],[Thành phần 2]]+Table_1[[#This Row],[Điểm dư từ TP1 ]]/3</f>
        <v>7.01</v>
      </c>
    </row>
    <row r="16" spans="1:17" ht="14.25" customHeight="1">
      <c r="A16" s="23" t="s">
        <v>45</v>
      </c>
      <c r="B16" s="23" t="s">
        <v>46</v>
      </c>
      <c r="C16" s="23" t="s">
        <v>47</v>
      </c>
      <c r="D16" s="23" t="s">
        <v>48</v>
      </c>
      <c r="E16" s="23">
        <v>10</v>
      </c>
      <c r="F16" s="23">
        <v>10</v>
      </c>
      <c r="G16" s="23">
        <v>8</v>
      </c>
      <c r="H16" s="24">
        <v>8</v>
      </c>
      <c r="I16" s="23"/>
      <c r="J16" s="25">
        <f>SUM(Table_1[[#This Row],[Điểm danh 1]:[Điểm cộng]])/4</f>
        <v>9</v>
      </c>
      <c r="K16" s="25">
        <f>IF(Table_1[[#This Row],[Thành phần 1]]&gt;10,10,Table_1[[#This Row],[Thành phần 1]])</f>
        <v>9</v>
      </c>
      <c r="L16" s="23">
        <v>8.3000000000000007</v>
      </c>
      <c r="M16" s="23">
        <v>7.4</v>
      </c>
      <c r="N16" s="23">
        <v>8.4</v>
      </c>
      <c r="O16" s="26">
        <f>Table_1[[#This Row],[Biểu đồ nâng cao (15% TP2)]]*0.15+Table_1[[#This Row],[Tư duy phân tích và xây dựng dashboard (15% TP2)]]*0.15+Table_1[[#This Row],[Thi giữa kỳ (70% TP2)]]*0.7</f>
        <v>8.2349999999999994</v>
      </c>
      <c r="P16" s="36">
        <f>Table_1[[#This Row],[Thành phần 1]]-Table_1[[#This Row],[Thành phần 1 chính thức (nếu Thành phần 1 &gt; 10 thì lấy 10)]]</f>
        <v>0</v>
      </c>
      <c r="Q16" s="36">
        <f>Table_1[[#This Row],[Thành phần 2]]+Table_1[[#This Row],[Điểm dư từ TP1 ]]/3</f>
        <v>8.2349999999999994</v>
      </c>
    </row>
    <row r="17" spans="1:17" ht="14.25" customHeight="1">
      <c r="A17" s="23" t="s">
        <v>45</v>
      </c>
      <c r="B17" s="23" t="s">
        <v>49</v>
      </c>
      <c r="C17" s="23" t="s">
        <v>47</v>
      </c>
      <c r="D17" s="23" t="s">
        <v>50</v>
      </c>
      <c r="E17" s="23">
        <v>10</v>
      </c>
      <c r="F17" s="23">
        <v>10</v>
      </c>
      <c r="G17" s="23">
        <v>9</v>
      </c>
      <c r="H17" s="24">
        <v>8</v>
      </c>
      <c r="I17" s="23"/>
      <c r="J17" s="25">
        <f>SUM(Table_1[[#This Row],[Điểm danh 1]:[Điểm cộng]])/4</f>
        <v>9.25</v>
      </c>
      <c r="K17" s="25">
        <f>IF(Table_1[[#This Row],[Thành phần 1]]&gt;10,10,Table_1[[#This Row],[Thành phần 1]])</f>
        <v>9.25</v>
      </c>
      <c r="L17" s="23">
        <v>9.1999999999999993</v>
      </c>
      <c r="M17" s="23">
        <v>9.1999999999999993</v>
      </c>
      <c r="N17" s="23">
        <v>8.6999999999999993</v>
      </c>
      <c r="O17" s="26">
        <f>Table_1[[#This Row],[Biểu đồ nâng cao (15% TP2)]]*0.15+Table_1[[#This Row],[Tư duy phân tích và xây dựng dashboard (15% TP2)]]*0.15+Table_1[[#This Row],[Thi giữa kỳ (70% TP2)]]*0.7</f>
        <v>8.8499999999999979</v>
      </c>
      <c r="P17" s="36">
        <f>Table_1[[#This Row],[Thành phần 1]]-Table_1[[#This Row],[Thành phần 1 chính thức (nếu Thành phần 1 &gt; 10 thì lấy 10)]]</f>
        <v>0</v>
      </c>
      <c r="Q17" s="36">
        <f>Table_1[[#This Row],[Thành phần 2]]+Table_1[[#This Row],[Điểm dư từ TP1 ]]/3</f>
        <v>8.8499999999999979</v>
      </c>
    </row>
    <row r="18" spans="1:17" ht="14.25" customHeight="1">
      <c r="A18" s="23" t="s">
        <v>45</v>
      </c>
      <c r="B18" s="23" t="s">
        <v>51</v>
      </c>
      <c r="C18" s="23" t="s">
        <v>52</v>
      </c>
      <c r="D18" s="23" t="s">
        <v>53</v>
      </c>
      <c r="E18" s="23">
        <v>10</v>
      </c>
      <c r="F18" s="23">
        <v>10</v>
      </c>
      <c r="G18" s="23">
        <v>5</v>
      </c>
      <c r="H18" s="24">
        <v>8.5</v>
      </c>
      <c r="I18" s="23"/>
      <c r="J18" s="25">
        <f>SUM(Table_1[[#This Row],[Điểm danh 1]:[Điểm cộng]])/4</f>
        <v>8.375</v>
      </c>
      <c r="K18" s="25">
        <f>IF(Table_1[[#This Row],[Thành phần 1]]&gt;10,10,Table_1[[#This Row],[Thành phần 1]])</f>
        <v>8.375</v>
      </c>
      <c r="L18" s="23">
        <v>9.1999999999999993</v>
      </c>
      <c r="M18" s="23">
        <v>9.1999999999999993</v>
      </c>
      <c r="N18" s="23">
        <v>8.6999999999999993</v>
      </c>
      <c r="O18" s="26">
        <f>Table_1[[#This Row],[Biểu đồ nâng cao (15% TP2)]]*0.15+Table_1[[#This Row],[Tư duy phân tích và xây dựng dashboard (15% TP2)]]*0.15+Table_1[[#This Row],[Thi giữa kỳ (70% TP2)]]*0.7</f>
        <v>8.8499999999999979</v>
      </c>
      <c r="P18" s="36">
        <f>Table_1[[#This Row],[Thành phần 1]]-Table_1[[#This Row],[Thành phần 1 chính thức (nếu Thành phần 1 &gt; 10 thì lấy 10)]]</f>
        <v>0</v>
      </c>
      <c r="Q18" s="36">
        <f>Table_1[[#This Row],[Thành phần 2]]+Table_1[[#This Row],[Điểm dư từ TP1 ]]/3</f>
        <v>8.8499999999999979</v>
      </c>
    </row>
    <row r="19" spans="1:17" ht="14.25" customHeight="1">
      <c r="A19" s="23" t="s">
        <v>45</v>
      </c>
      <c r="B19" s="23" t="s">
        <v>54</v>
      </c>
      <c r="C19" s="23" t="s">
        <v>55</v>
      </c>
      <c r="D19" s="23" t="s">
        <v>56</v>
      </c>
      <c r="E19" s="23">
        <v>10</v>
      </c>
      <c r="F19" s="23">
        <v>10</v>
      </c>
      <c r="G19" s="23">
        <v>10</v>
      </c>
      <c r="H19" s="24">
        <v>8</v>
      </c>
      <c r="I19" s="23">
        <v>5</v>
      </c>
      <c r="J19" s="25">
        <f>SUM(Table_1[[#This Row],[Điểm danh 1]:[Điểm cộng]])/4</f>
        <v>10.75</v>
      </c>
      <c r="K19" s="25">
        <f>IF(Table_1[[#This Row],[Thành phần 1]]&gt;10,10,Table_1[[#This Row],[Thành phần 1]])</f>
        <v>10</v>
      </c>
      <c r="L19" s="23">
        <v>9</v>
      </c>
      <c r="M19" s="23">
        <v>8.5</v>
      </c>
      <c r="N19" s="23">
        <v>8.3000000000000007</v>
      </c>
      <c r="O19" s="26">
        <f>Table_1[[#This Row],[Biểu đồ nâng cao (15% TP2)]]*0.15+Table_1[[#This Row],[Tư duy phân tích và xây dựng dashboard (15% TP2)]]*0.15+Table_1[[#This Row],[Thi giữa kỳ (70% TP2)]]*0.7</f>
        <v>8.4350000000000005</v>
      </c>
      <c r="P19" s="36">
        <f>Table_1[[#This Row],[Thành phần 1]]-Table_1[[#This Row],[Thành phần 1 chính thức (nếu Thành phần 1 &gt; 10 thì lấy 10)]]</f>
        <v>0.75</v>
      </c>
      <c r="Q19" s="36">
        <f>Table_1[[#This Row],[Thành phần 2]]+Table_1[[#This Row],[Điểm dư từ TP1 ]]/3</f>
        <v>8.6850000000000005</v>
      </c>
    </row>
    <row r="20" spans="1:17" ht="14.25" customHeight="1">
      <c r="A20" s="23" t="s">
        <v>45</v>
      </c>
      <c r="B20" s="23" t="s">
        <v>57</v>
      </c>
      <c r="C20" s="23" t="s">
        <v>58</v>
      </c>
      <c r="D20" s="23" t="s">
        <v>59</v>
      </c>
      <c r="E20" s="23">
        <v>10</v>
      </c>
      <c r="F20" s="23">
        <v>9</v>
      </c>
      <c r="G20" s="23">
        <v>10</v>
      </c>
      <c r="H20" s="24">
        <v>6</v>
      </c>
      <c r="I20" s="23"/>
      <c r="J20" s="25">
        <f>SUM(Table_1[[#This Row],[Điểm danh 1]:[Điểm cộng]])/4</f>
        <v>8.75</v>
      </c>
      <c r="K20" s="25">
        <f>IF(Table_1[[#This Row],[Thành phần 1]]&gt;10,10,Table_1[[#This Row],[Thành phần 1]])</f>
        <v>8.75</v>
      </c>
      <c r="L20" s="23">
        <v>8.3000000000000007</v>
      </c>
      <c r="M20" s="23">
        <v>7.4</v>
      </c>
      <c r="N20" s="23">
        <v>8.4</v>
      </c>
      <c r="O20" s="26">
        <f>Table_1[[#This Row],[Biểu đồ nâng cao (15% TP2)]]*0.15+Table_1[[#This Row],[Tư duy phân tích và xây dựng dashboard (15% TP2)]]*0.15+Table_1[[#This Row],[Thi giữa kỳ (70% TP2)]]*0.7</f>
        <v>8.2349999999999994</v>
      </c>
      <c r="P20" s="36">
        <f>Table_1[[#This Row],[Thành phần 1]]-Table_1[[#This Row],[Thành phần 1 chính thức (nếu Thành phần 1 &gt; 10 thì lấy 10)]]</f>
        <v>0</v>
      </c>
      <c r="Q20" s="36">
        <f>Table_1[[#This Row],[Thành phần 2]]+Table_1[[#This Row],[Điểm dư từ TP1 ]]/3</f>
        <v>8.2349999999999994</v>
      </c>
    </row>
    <row r="21" spans="1:17" ht="14.25" customHeight="1">
      <c r="A21" s="23" t="s">
        <v>45</v>
      </c>
      <c r="B21" s="23" t="s">
        <v>60</v>
      </c>
      <c r="C21" s="23" t="s">
        <v>58</v>
      </c>
      <c r="D21" s="23" t="s">
        <v>61</v>
      </c>
      <c r="E21" s="23">
        <v>10</v>
      </c>
      <c r="F21" s="23">
        <v>10</v>
      </c>
      <c r="G21" s="23">
        <v>9.5</v>
      </c>
      <c r="H21" s="24">
        <v>8.5</v>
      </c>
      <c r="I21" s="23"/>
      <c r="J21" s="25">
        <f>SUM(Table_1[[#This Row],[Điểm danh 1]:[Điểm cộng]])/4</f>
        <v>9.5</v>
      </c>
      <c r="K21" s="25">
        <f>IF(Table_1[[#This Row],[Thành phần 1]]&gt;10,10,Table_1[[#This Row],[Thành phần 1]])</f>
        <v>9.5</v>
      </c>
      <c r="L21" s="23">
        <v>9.1999999999999993</v>
      </c>
      <c r="M21" s="23">
        <v>8</v>
      </c>
      <c r="N21" s="23">
        <v>9</v>
      </c>
      <c r="O21" s="26">
        <f>Table_1[[#This Row],[Biểu đồ nâng cao (15% TP2)]]*0.15+Table_1[[#This Row],[Tư duy phân tích và xây dựng dashboard (15% TP2)]]*0.15+Table_1[[#This Row],[Thi giữa kỳ (70% TP2)]]*0.7</f>
        <v>8.879999999999999</v>
      </c>
      <c r="P21" s="36">
        <f>Table_1[[#This Row],[Thành phần 1]]-Table_1[[#This Row],[Thành phần 1 chính thức (nếu Thành phần 1 &gt; 10 thì lấy 10)]]</f>
        <v>0</v>
      </c>
      <c r="Q21" s="36">
        <f>Table_1[[#This Row],[Thành phần 2]]+Table_1[[#This Row],[Điểm dư từ TP1 ]]/3</f>
        <v>8.879999999999999</v>
      </c>
    </row>
    <row r="22" spans="1:17" ht="14.25" customHeight="1">
      <c r="A22" s="23" t="s">
        <v>45</v>
      </c>
      <c r="B22" s="23" t="s">
        <v>62</v>
      </c>
      <c r="C22" s="23" t="s">
        <v>63</v>
      </c>
      <c r="D22" s="23" t="s">
        <v>64</v>
      </c>
      <c r="E22" s="23">
        <v>10</v>
      </c>
      <c r="F22" s="23">
        <v>10</v>
      </c>
      <c r="G22" s="23">
        <v>10</v>
      </c>
      <c r="H22" s="23">
        <v>0</v>
      </c>
      <c r="I22" s="23"/>
      <c r="J22" s="25">
        <f>SUM(Table_1[[#This Row],[Điểm danh 1]:[Điểm cộng]])/4</f>
        <v>7.5</v>
      </c>
      <c r="K22" s="25">
        <f>IF(Table_1[[#This Row],[Thành phần 1]]&gt;10,10,Table_1[[#This Row],[Thành phần 1]])</f>
        <v>7.5</v>
      </c>
      <c r="L22" s="23">
        <v>9</v>
      </c>
      <c r="M22" s="23">
        <v>8.8000000000000007</v>
      </c>
      <c r="N22" s="23">
        <v>9.3000000000000007</v>
      </c>
      <c r="O22" s="26">
        <f>Table_1[[#This Row],[Biểu đồ nâng cao (15% TP2)]]*0.15+Table_1[[#This Row],[Tư duy phân tích và xây dựng dashboard (15% TP2)]]*0.15+Table_1[[#This Row],[Thi giữa kỳ (70% TP2)]]*0.7</f>
        <v>9.18</v>
      </c>
      <c r="P22" s="36">
        <f>Table_1[[#This Row],[Thành phần 1]]-Table_1[[#This Row],[Thành phần 1 chính thức (nếu Thành phần 1 &gt; 10 thì lấy 10)]]</f>
        <v>0</v>
      </c>
      <c r="Q22" s="36">
        <f>Table_1[[#This Row],[Thành phần 2]]+Table_1[[#This Row],[Điểm dư từ TP1 ]]/3</f>
        <v>9.18</v>
      </c>
    </row>
    <row r="23" spans="1:17" ht="14.25" customHeight="1">
      <c r="A23" s="23" t="s">
        <v>45</v>
      </c>
      <c r="B23" s="23" t="s">
        <v>65</v>
      </c>
      <c r="C23" s="23" t="s">
        <v>63</v>
      </c>
      <c r="D23" s="23" t="s">
        <v>66</v>
      </c>
      <c r="E23" s="23">
        <v>10</v>
      </c>
      <c r="F23" s="23">
        <v>10</v>
      </c>
      <c r="G23" s="23">
        <v>9.5</v>
      </c>
      <c r="H23" s="24">
        <v>7</v>
      </c>
      <c r="I23" s="23"/>
      <c r="J23" s="25">
        <f>SUM(Table_1[[#This Row],[Điểm danh 1]:[Điểm cộng]])/4</f>
        <v>9.125</v>
      </c>
      <c r="K23" s="25">
        <f>IF(Table_1[[#This Row],[Thành phần 1]]&gt;10,10,Table_1[[#This Row],[Thành phần 1]])</f>
        <v>9.125</v>
      </c>
      <c r="L23" s="23">
        <v>9.1999999999999993</v>
      </c>
      <c r="M23" s="23">
        <v>9.1999999999999993</v>
      </c>
      <c r="N23" s="23">
        <v>8.6999999999999993</v>
      </c>
      <c r="O23" s="26">
        <f>Table_1[[#This Row],[Biểu đồ nâng cao (15% TP2)]]*0.15+Table_1[[#This Row],[Tư duy phân tích và xây dựng dashboard (15% TP2)]]*0.15+Table_1[[#This Row],[Thi giữa kỳ (70% TP2)]]*0.7</f>
        <v>8.8499999999999979</v>
      </c>
      <c r="P23" s="36">
        <f>Table_1[[#This Row],[Thành phần 1]]-Table_1[[#This Row],[Thành phần 1 chính thức (nếu Thành phần 1 &gt; 10 thì lấy 10)]]</f>
        <v>0</v>
      </c>
      <c r="Q23" s="36">
        <f>Table_1[[#This Row],[Thành phần 2]]+Table_1[[#This Row],[Điểm dư từ TP1 ]]/3</f>
        <v>8.8499999999999979</v>
      </c>
    </row>
    <row r="24" spans="1:17" ht="14.25" customHeight="1">
      <c r="A24" s="23" t="s">
        <v>45</v>
      </c>
      <c r="B24" s="23" t="s">
        <v>67</v>
      </c>
      <c r="C24" s="23" t="s">
        <v>68</v>
      </c>
      <c r="D24" s="23" t="s">
        <v>69</v>
      </c>
      <c r="E24" s="23">
        <v>10</v>
      </c>
      <c r="F24" s="23">
        <v>8.5</v>
      </c>
      <c r="G24" s="23">
        <v>8</v>
      </c>
      <c r="H24" s="24">
        <v>7.5</v>
      </c>
      <c r="I24" s="23"/>
      <c r="J24" s="25">
        <f>SUM(Table_1[[#This Row],[Điểm danh 1]:[Điểm cộng]])/4</f>
        <v>8.5</v>
      </c>
      <c r="K24" s="25">
        <f>IF(Table_1[[#This Row],[Thành phần 1]]&gt;10,10,Table_1[[#This Row],[Thành phần 1]])</f>
        <v>8.5</v>
      </c>
      <c r="L24" s="23">
        <v>9.1999999999999993</v>
      </c>
      <c r="M24" s="23">
        <v>9.1999999999999993</v>
      </c>
      <c r="N24" s="23">
        <v>8.6999999999999993</v>
      </c>
      <c r="O24" s="26">
        <f>Table_1[[#This Row],[Biểu đồ nâng cao (15% TP2)]]*0.15+Table_1[[#This Row],[Tư duy phân tích và xây dựng dashboard (15% TP2)]]*0.15+Table_1[[#This Row],[Thi giữa kỳ (70% TP2)]]*0.7</f>
        <v>8.8499999999999979</v>
      </c>
      <c r="P24" s="36">
        <f>Table_1[[#This Row],[Thành phần 1]]-Table_1[[#This Row],[Thành phần 1 chính thức (nếu Thành phần 1 &gt; 10 thì lấy 10)]]</f>
        <v>0</v>
      </c>
      <c r="Q24" s="36">
        <f>Table_1[[#This Row],[Thành phần 2]]+Table_1[[#This Row],[Điểm dư từ TP1 ]]/3</f>
        <v>8.8499999999999979</v>
      </c>
    </row>
    <row r="25" spans="1:17" ht="14.25" customHeight="1">
      <c r="A25" s="23" t="s">
        <v>45</v>
      </c>
      <c r="B25" s="23" t="s">
        <v>70</v>
      </c>
      <c r="C25" s="23" t="s">
        <v>71</v>
      </c>
      <c r="D25" s="23" t="s">
        <v>72</v>
      </c>
      <c r="E25" s="23">
        <v>0</v>
      </c>
      <c r="F25" s="23">
        <v>8.5</v>
      </c>
      <c r="G25" s="23">
        <v>9.5</v>
      </c>
      <c r="H25" s="24">
        <v>7.5</v>
      </c>
      <c r="I25" s="23"/>
      <c r="J25" s="25">
        <f>SUM(Table_1[[#This Row],[Điểm danh 1]:[Điểm cộng]])/4</f>
        <v>6.375</v>
      </c>
      <c r="K25" s="25">
        <f>IF(Table_1[[#This Row],[Thành phần 1]]&gt;10,10,Table_1[[#This Row],[Thành phần 1]])</f>
        <v>6.375</v>
      </c>
      <c r="L25" s="23">
        <v>9</v>
      </c>
      <c r="M25" s="23">
        <v>8.8000000000000007</v>
      </c>
      <c r="N25" s="23">
        <v>9.3000000000000007</v>
      </c>
      <c r="O25" s="26">
        <f>Table_1[[#This Row],[Biểu đồ nâng cao (15% TP2)]]*0.15+Table_1[[#This Row],[Tư duy phân tích và xây dựng dashboard (15% TP2)]]*0.15+Table_1[[#This Row],[Thi giữa kỳ (70% TP2)]]*0.7</f>
        <v>9.18</v>
      </c>
      <c r="P25" s="36">
        <f>Table_1[[#This Row],[Thành phần 1]]-Table_1[[#This Row],[Thành phần 1 chính thức (nếu Thành phần 1 &gt; 10 thì lấy 10)]]</f>
        <v>0</v>
      </c>
      <c r="Q25" s="36">
        <f>Table_1[[#This Row],[Thành phần 2]]+Table_1[[#This Row],[Điểm dư từ TP1 ]]/3</f>
        <v>9.18</v>
      </c>
    </row>
    <row r="26" spans="1:17" ht="14.25" customHeight="1">
      <c r="A26" s="23" t="s">
        <v>45</v>
      </c>
      <c r="B26" s="23" t="s">
        <v>73</v>
      </c>
      <c r="C26" s="23" t="s">
        <v>71</v>
      </c>
      <c r="D26" s="23" t="s">
        <v>74</v>
      </c>
      <c r="E26" s="23">
        <v>10</v>
      </c>
      <c r="F26" s="23">
        <v>10</v>
      </c>
      <c r="G26" s="23">
        <v>6</v>
      </c>
      <c r="H26" s="24">
        <v>8.5</v>
      </c>
      <c r="I26" s="23">
        <v>1</v>
      </c>
      <c r="J26" s="25">
        <f>SUM(Table_1[[#This Row],[Điểm danh 1]:[Điểm cộng]])/4</f>
        <v>8.875</v>
      </c>
      <c r="K26" s="25">
        <f>IF(Table_1[[#This Row],[Thành phần 1]]&gt;10,10,Table_1[[#This Row],[Thành phần 1]])</f>
        <v>8.875</v>
      </c>
      <c r="L26" s="23">
        <v>9</v>
      </c>
      <c r="M26" s="23">
        <v>8.5</v>
      </c>
      <c r="N26" s="23">
        <v>8.3000000000000007</v>
      </c>
      <c r="O26" s="26">
        <f>Table_1[[#This Row],[Biểu đồ nâng cao (15% TP2)]]*0.15+Table_1[[#This Row],[Tư duy phân tích và xây dựng dashboard (15% TP2)]]*0.15+Table_1[[#This Row],[Thi giữa kỳ (70% TP2)]]*0.7</f>
        <v>8.4350000000000005</v>
      </c>
      <c r="P26" s="36">
        <f>Table_1[[#This Row],[Thành phần 1]]-Table_1[[#This Row],[Thành phần 1 chính thức (nếu Thành phần 1 &gt; 10 thì lấy 10)]]</f>
        <v>0</v>
      </c>
      <c r="Q26" s="36">
        <f>Table_1[[#This Row],[Thành phần 2]]+Table_1[[#This Row],[Điểm dư từ TP1 ]]/3</f>
        <v>8.4350000000000005</v>
      </c>
    </row>
    <row r="27" spans="1:17" ht="14.25" customHeight="1">
      <c r="A27" s="23" t="s">
        <v>45</v>
      </c>
      <c r="B27" s="23" t="s">
        <v>75</v>
      </c>
      <c r="C27" s="23" t="s">
        <v>76</v>
      </c>
      <c r="D27" s="23" t="s">
        <v>77</v>
      </c>
      <c r="E27" s="23">
        <v>10</v>
      </c>
      <c r="F27" s="23">
        <v>10</v>
      </c>
      <c r="G27" s="23">
        <v>10</v>
      </c>
      <c r="H27" s="24">
        <v>8</v>
      </c>
      <c r="I27" s="23"/>
      <c r="J27" s="25">
        <f>SUM(Table_1[[#This Row],[Điểm danh 1]:[Điểm cộng]])/4</f>
        <v>9.5</v>
      </c>
      <c r="K27" s="25">
        <f>IF(Table_1[[#This Row],[Thành phần 1]]&gt;10,10,Table_1[[#This Row],[Thành phần 1]])</f>
        <v>9.5</v>
      </c>
      <c r="L27" s="23">
        <v>9</v>
      </c>
      <c r="M27" s="23">
        <v>8.1999999999999993</v>
      </c>
      <c r="N27" s="23">
        <v>9.4</v>
      </c>
      <c r="O27" s="26">
        <f>Table_1[[#This Row],[Biểu đồ nâng cao (15% TP2)]]*0.15+Table_1[[#This Row],[Tư duy phân tích và xây dựng dashboard (15% TP2)]]*0.15+Table_1[[#This Row],[Thi giữa kỳ (70% TP2)]]*0.7</f>
        <v>9.16</v>
      </c>
      <c r="P27" s="36">
        <f>Table_1[[#This Row],[Thành phần 1]]-Table_1[[#This Row],[Thành phần 1 chính thức (nếu Thành phần 1 &gt; 10 thì lấy 10)]]</f>
        <v>0</v>
      </c>
      <c r="Q27" s="36">
        <f>Table_1[[#This Row],[Thành phần 2]]+Table_1[[#This Row],[Điểm dư từ TP1 ]]/3</f>
        <v>9.16</v>
      </c>
    </row>
    <row r="28" spans="1:17" ht="14.25" customHeight="1">
      <c r="A28" s="23" t="s">
        <v>45</v>
      </c>
      <c r="B28" s="23" t="s">
        <v>78</v>
      </c>
      <c r="C28" s="23" t="s">
        <v>79</v>
      </c>
      <c r="D28" s="23" t="s">
        <v>80</v>
      </c>
      <c r="E28" s="23">
        <v>10</v>
      </c>
      <c r="F28" s="23">
        <v>10</v>
      </c>
      <c r="G28" s="23">
        <v>8</v>
      </c>
      <c r="H28" s="24">
        <v>6.5</v>
      </c>
      <c r="I28" s="23"/>
      <c r="J28" s="25">
        <f>SUM(Table_1[[#This Row],[Điểm danh 1]:[Điểm cộng]])/4</f>
        <v>8.625</v>
      </c>
      <c r="K28" s="25">
        <f>IF(Table_1[[#This Row],[Thành phần 1]]&gt;10,10,Table_1[[#This Row],[Thành phần 1]])</f>
        <v>8.625</v>
      </c>
      <c r="L28" s="23">
        <v>8.3000000000000007</v>
      </c>
      <c r="M28" s="23">
        <v>7.5</v>
      </c>
      <c r="N28" s="23">
        <v>8.3000000000000007</v>
      </c>
      <c r="O28" s="26">
        <f>Table_1[[#This Row],[Biểu đồ nâng cao (15% TP2)]]*0.15+Table_1[[#This Row],[Tư duy phân tích và xây dựng dashboard (15% TP2)]]*0.15+Table_1[[#This Row],[Thi giữa kỳ (70% TP2)]]*0.7</f>
        <v>8.18</v>
      </c>
      <c r="P28" s="36">
        <f>Table_1[[#This Row],[Thành phần 1]]-Table_1[[#This Row],[Thành phần 1 chính thức (nếu Thành phần 1 &gt; 10 thì lấy 10)]]</f>
        <v>0</v>
      </c>
      <c r="Q28" s="36">
        <f>Table_1[[#This Row],[Thành phần 2]]+Table_1[[#This Row],[Điểm dư từ TP1 ]]/3</f>
        <v>8.18</v>
      </c>
    </row>
    <row r="29" spans="1:17" ht="14.25" customHeight="1">
      <c r="A29" s="23" t="s">
        <v>45</v>
      </c>
      <c r="B29" s="23" t="s">
        <v>20</v>
      </c>
      <c r="C29" s="23" t="s">
        <v>81</v>
      </c>
      <c r="D29" s="23" t="s">
        <v>82</v>
      </c>
      <c r="E29" s="23">
        <v>10</v>
      </c>
      <c r="F29" s="23">
        <v>10</v>
      </c>
      <c r="G29" s="23">
        <v>9.5</v>
      </c>
      <c r="H29" s="24">
        <v>7.5</v>
      </c>
      <c r="I29" s="23"/>
      <c r="J29" s="25">
        <f>SUM(Table_1[[#This Row],[Điểm danh 1]:[Điểm cộng]])/4</f>
        <v>9.25</v>
      </c>
      <c r="K29" s="25">
        <f>IF(Table_1[[#This Row],[Thành phần 1]]&gt;10,10,Table_1[[#This Row],[Thành phần 1]])</f>
        <v>9.25</v>
      </c>
      <c r="L29" s="23">
        <v>9</v>
      </c>
      <c r="M29" s="23">
        <v>8.1999999999999993</v>
      </c>
      <c r="N29" s="23">
        <v>9.4</v>
      </c>
      <c r="O29" s="26">
        <f>Table_1[[#This Row],[Biểu đồ nâng cao (15% TP2)]]*0.15+Table_1[[#This Row],[Tư duy phân tích và xây dựng dashboard (15% TP2)]]*0.15+Table_1[[#This Row],[Thi giữa kỳ (70% TP2)]]*0.7</f>
        <v>9.16</v>
      </c>
      <c r="P29" s="36">
        <f>Table_1[[#This Row],[Thành phần 1]]-Table_1[[#This Row],[Thành phần 1 chính thức (nếu Thành phần 1 &gt; 10 thì lấy 10)]]</f>
        <v>0</v>
      </c>
      <c r="Q29" s="36">
        <f>Table_1[[#This Row],[Thành phần 2]]+Table_1[[#This Row],[Điểm dư từ TP1 ]]/3</f>
        <v>9.16</v>
      </c>
    </row>
    <row r="30" spans="1:17" ht="14.25" customHeight="1">
      <c r="A30" s="23" t="s">
        <v>45</v>
      </c>
      <c r="B30" s="23" t="s">
        <v>83</v>
      </c>
      <c r="C30" s="23" t="s">
        <v>9</v>
      </c>
      <c r="D30" s="23" t="s">
        <v>84</v>
      </c>
      <c r="E30" s="23">
        <v>10</v>
      </c>
      <c r="F30" s="23">
        <v>10</v>
      </c>
      <c r="G30" s="23">
        <v>9.5</v>
      </c>
      <c r="H30" s="24">
        <v>9.5</v>
      </c>
      <c r="I30" s="23">
        <v>1</v>
      </c>
      <c r="J30" s="25">
        <f>SUM(Table_1[[#This Row],[Điểm danh 1]:[Điểm cộng]])/4</f>
        <v>10</v>
      </c>
      <c r="K30" s="25">
        <f>IF(Table_1[[#This Row],[Thành phần 1]]&gt;10,10,Table_1[[#This Row],[Thành phần 1]])</f>
        <v>10</v>
      </c>
      <c r="L30" s="23">
        <v>9</v>
      </c>
      <c r="M30" s="23">
        <v>8.1999999999999993</v>
      </c>
      <c r="N30" s="23">
        <v>9.4</v>
      </c>
      <c r="O30" s="26">
        <f>Table_1[[#This Row],[Biểu đồ nâng cao (15% TP2)]]*0.15+Table_1[[#This Row],[Tư duy phân tích và xây dựng dashboard (15% TP2)]]*0.15+Table_1[[#This Row],[Thi giữa kỳ (70% TP2)]]*0.7</f>
        <v>9.16</v>
      </c>
      <c r="P30" s="36">
        <f>Table_1[[#This Row],[Thành phần 1]]-Table_1[[#This Row],[Thành phần 1 chính thức (nếu Thành phần 1 &gt; 10 thì lấy 10)]]</f>
        <v>0</v>
      </c>
      <c r="Q30" s="36">
        <f>Table_1[[#This Row],[Thành phần 2]]+Table_1[[#This Row],[Điểm dư từ TP1 ]]/3</f>
        <v>9.16</v>
      </c>
    </row>
    <row r="31" spans="1:17" ht="14.25" customHeight="1">
      <c r="A31" s="23" t="s">
        <v>45</v>
      </c>
      <c r="B31" s="23" t="s">
        <v>85</v>
      </c>
      <c r="C31" s="23" t="s">
        <v>86</v>
      </c>
      <c r="D31" s="23" t="s">
        <v>87</v>
      </c>
      <c r="E31" s="23">
        <v>10</v>
      </c>
      <c r="F31" s="23">
        <v>10</v>
      </c>
      <c r="G31" s="23">
        <v>8.5</v>
      </c>
      <c r="H31" s="24">
        <v>9</v>
      </c>
      <c r="I31" s="23"/>
      <c r="J31" s="25">
        <f>SUM(Table_1[[#This Row],[Điểm danh 1]:[Điểm cộng]])/4</f>
        <v>9.375</v>
      </c>
      <c r="K31" s="25">
        <f>IF(Table_1[[#This Row],[Thành phần 1]]&gt;10,10,Table_1[[#This Row],[Thành phần 1]])</f>
        <v>9.375</v>
      </c>
      <c r="L31" s="23">
        <v>8.3000000000000007</v>
      </c>
      <c r="M31" s="23">
        <v>7.5</v>
      </c>
      <c r="N31" s="23">
        <v>8.3000000000000007</v>
      </c>
      <c r="O31" s="26">
        <f>Table_1[[#This Row],[Biểu đồ nâng cao (15% TP2)]]*0.15+Table_1[[#This Row],[Tư duy phân tích và xây dựng dashboard (15% TP2)]]*0.15+Table_1[[#This Row],[Thi giữa kỳ (70% TP2)]]*0.7</f>
        <v>8.18</v>
      </c>
      <c r="P31" s="36">
        <f>Table_1[[#This Row],[Thành phần 1]]-Table_1[[#This Row],[Thành phần 1 chính thức (nếu Thành phần 1 &gt; 10 thì lấy 10)]]</f>
        <v>0</v>
      </c>
      <c r="Q31" s="36">
        <f>Table_1[[#This Row],[Thành phần 2]]+Table_1[[#This Row],[Điểm dư từ TP1 ]]/3</f>
        <v>8.18</v>
      </c>
    </row>
    <row r="32" spans="1:17" ht="14.25" customHeight="1">
      <c r="A32" s="23" t="s">
        <v>45</v>
      </c>
      <c r="B32" s="23" t="s">
        <v>88</v>
      </c>
      <c r="C32" s="23" t="s">
        <v>89</v>
      </c>
      <c r="D32" s="23" t="s">
        <v>90</v>
      </c>
      <c r="E32" s="23">
        <v>10</v>
      </c>
      <c r="F32" s="23">
        <v>10</v>
      </c>
      <c r="G32" s="23">
        <v>10</v>
      </c>
      <c r="H32" s="24">
        <v>8.5</v>
      </c>
      <c r="I32" s="23"/>
      <c r="J32" s="25">
        <f>SUM(Table_1[[#This Row],[Điểm danh 1]:[Điểm cộng]])/4</f>
        <v>9.625</v>
      </c>
      <c r="K32" s="25">
        <f>IF(Table_1[[#This Row],[Thành phần 1]]&gt;10,10,Table_1[[#This Row],[Thành phần 1]])</f>
        <v>9.625</v>
      </c>
      <c r="L32" s="23">
        <v>9</v>
      </c>
      <c r="M32" s="23">
        <v>8.1999999999999993</v>
      </c>
      <c r="N32" s="23">
        <v>9.4</v>
      </c>
      <c r="O32" s="26">
        <f>Table_1[[#This Row],[Biểu đồ nâng cao (15% TP2)]]*0.15+Table_1[[#This Row],[Tư duy phân tích và xây dựng dashboard (15% TP2)]]*0.15+Table_1[[#This Row],[Thi giữa kỳ (70% TP2)]]*0.7</f>
        <v>9.16</v>
      </c>
      <c r="P32" s="36">
        <f>Table_1[[#This Row],[Thành phần 1]]-Table_1[[#This Row],[Thành phần 1 chính thức (nếu Thành phần 1 &gt; 10 thì lấy 10)]]</f>
        <v>0</v>
      </c>
      <c r="Q32" s="36">
        <f>Table_1[[#This Row],[Thành phần 2]]+Table_1[[#This Row],[Điểm dư từ TP1 ]]/3</f>
        <v>9.16</v>
      </c>
    </row>
    <row r="33" spans="1:17" ht="14.25" customHeight="1">
      <c r="A33" s="23" t="s">
        <v>45</v>
      </c>
      <c r="B33" s="23" t="s">
        <v>91</v>
      </c>
      <c r="C33" s="23" t="s">
        <v>89</v>
      </c>
      <c r="D33" s="23" t="s">
        <v>92</v>
      </c>
      <c r="E33" s="23">
        <v>10</v>
      </c>
      <c r="F33" s="23">
        <v>10</v>
      </c>
      <c r="G33" s="23">
        <v>10</v>
      </c>
      <c r="H33" s="24">
        <v>9.5</v>
      </c>
      <c r="I33" s="23">
        <v>2</v>
      </c>
      <c r="J33" s="25">
        <f>SUM(Table_1[[#This Row],[Điểm danh 1]:[Điểm cộng]])/4</f>
        <v>10.375</v>
      </c>
      <c r="K33" s="25">
        <f>IF(Table_1[[#This Row],[Thành phần 1]]&gt;10,10,Table_1[[#This Row],[Thành phần 1]])</f>
        <v>10</v>
      </c>
      <c r="L33" s="23">
        <v>9</v>
      </c>
      <c r="M33" s="23">
        <v>8.5</v>
      </c>
      <c r="N33" s="23">
        <v>8.3000000000000007</v>
      </c>
      <c r="O33" s="26">
        <f>Table_1[[#This Row],[Biểu đồ nâng cao (15% TP2)]]*0.15+Table_1[[#This Row],[Tư duy phân tích và xây dựng dashboard (15% TP2)]]*0.15+Table_1[[#This Row],[Thi giữa kỳ (70% TP2)]]*0.7</f>
        <v>8.4350000000000005</v>
      </c>
      <c r="P33" s="36">
        <f>Table_1[[#This Row],[Thành phần 1]]-Table_1[[#This Row],[Thành phần 1 chính thức (nếu Thành phần 1 &gt; 10 thì lấy 10)]]</f>
        <v>0.375</v>
      </c>
      <c r="Q33" s="36">
        <f>Table_1[[#This Row],[Thành phần 2]]+Table_1[[#This Row],[Điểm dư từ TP1 ]]/3</f>
        <v>8.56</v>
      </c>
    </row>
    <row r="34" spans="1:17" ht="14.25" customHeight="1">
      <c r="A34" s="23" t="s">
        <v>45</v>
      </c>
      <c r="B34" s="23" t="s">
        <v>93</v>
      </c>
      <c r="C34" s="23" t="s">
        <v>94</v>
      </c>
      <c r="D34" s="23" t="s">
        <v>95</v>
      </c>
      <c r="E34" s="23">
        <v>10</v>
      </c>
      <c r="F34" s="23">
        <v>10</v>
      </c>
      <c r="G34" s="23">
        <v>10</v>
      </c>
      <c r="H34" s="24">
        <v>9.5</v>
      </c>
      <c r="I34" s="23">
        <v>1</v>
      </c>
      <c r="J34" s="25">
        <f>SUM(Table_1[[#This Row],[Điểm danh 1]:[Điểm cộng]])/4</f>
        <v>10.125</v>
      </c>
      <c r="K34" s="25">
        <f>IF(Table_1[[#This Row],[Thành phần 1]]&gt;10,10,Table_1[[#This Row],[Thành phần 1]])</f>
        <v>10</v>
      </c>
      <c r="L34" s="23">
        <v>9</v>
      </c>
      <c r="M34" s="23">
        <v>8.5</v>
      </c>
      <c r="N34" s="23">
        <v>8.3000000000000007</v>
      </c>
      <c r="O34" s="26">
        <f>Table_1[[#This Row],[Biểu đồ nâng cao (15% TP2)]]*0.15+Table_1[[#This Row],[Tư duy phân tích và xây dựng dashboard (15% TP2)]]*0.15+Table_1[[#This Row],[Thi giữa kỳ (70% TP2)]]*0.7</f>
        <v>8.4350000000000005</v>
      </c>
      <c r="P34" s="36">
        <f>Table_1[[#This Row],[Thành phần 1]]-Table_1[[#This Row],[Thành phần 1 chính thức (nếu Thành phần 1 &gt; 10 thì lấy 10)]]</f>
        <v>0.125</v>
      </c>
      <c r="Q34" s="36">
        <f>Table_1[[#This Row],[Thành phần 2]]+Table_1[[#This Row],[Điểm dư từ TP1 ]]/3</f>
        <v>8.4766666666666666</v>
      </c>
    </row>
    <row r="35" spans="1:17" ht="14.25" customHeight="1">
      <c r="A35" s="23" t="s">
        <v>45</v>
      </c>
      <c r="B35" s="23" t="s">
        <v>96</v>
      </c>
      <c r="C35" s="23" t="s">
        <v>97</v>
      </c>
      <c r="D35" s="23" t="s">
        <v>98</v>
      </c>
      <c r="E35" s="23">
        <v>10</v>
      </c>
      <c r="F35" s="23">
        <v>9</v>
      </c>
      <c r="G35" s="23">
        <v>8.6</v>
      </c>
      <c r="H35" s="24">
        <v>7.5</v>
      </c>
      <c r="I35" s="23"/>
      <c r="J35" s="25">
        <f>SUM(Table_1[[#This Row],[Điểm danh 1]:[Điểm cộng]])/4</f>
        <v>8.7750000000000004</v>
      </c>
      <c r="K35" s="25">
        <f>IF(Table_1[[#This Row],[Thành phần 1]]&gt;10,10,Table_1[[#This Row],[Thành phần 1]])</f>
        <v>8.7750000000000004</v>
      </c>
      <c r="L35" s="23">
        <v>9.1999999999999993</v>
      </c>
      <c r="M35" s="23">
        <v>9.1999999999999993</v>
      </c>
      <c r="N35" s="23">
        <v>8.6999999999999993</v>
      </c>
      <c r="O35" s="26">
        <f>Table_1[[#This Row],[Biểu đồ nâng cao (15% TP2)]]*0.15+Table_1[[#This Row],[Tư duy phân tích và xây dựng dashboard (15% TP2)]]*0.15+Table_1[[#This Row],[Thi giữa kỳ (70% TP2)]]*0.7</f>
        <v>8.8499999999999979</v>
      </c>
      <c r="P35" s="36">
        <f>Table_1[[#This Row],[Thành phần 1]]-Table_1[[#This Row],[Thành phần 1 chính thức (nếu Thành phần 1 &gt; 10 thì lấy 10)]]</f>
        <v>0</v>
      </c>
      <c r="Q35" s="36">
        <f>Table_1[[#This Row],[Thành phần 2]]+Table_1[[#This Row],[Điểm dư từ TP1 ]]/3</f>
        <v>8.8499999999999979</v>
      </c>
    </row>
    <row r="36" spans="1:17" ht="14.25" customHeight="1">
      <c r="A36" s="23" t="s">
        <v>45</v>
      </c>
      <c r="B36" s="23" t="s">
        <v>99</v>
      </c>
      <c r="C36" s="23" t="s">
        <v>100</v>
      </c>
      <c r="D36" s="23" t="s">
        <v>101</v>
      </c>
      <c r="E36" s="23">
        <v>10</v>
      </c>
      <c r="F36" s="23">
        <v>10</v>
      </c>
      <c r="G36" s="23">
        <v>10</v>
      </c>
      <c r="H36" s="24">
        <v>8</v>
      </c>
      <c r="I36" s="23">
        <v>2</v>
      </c>
      <c r="J36" s="25">
        <f>SUM(Table_1[[#This Row],[Điểm danh 1]:[Điểm cộng]])/4</f>
        <v>10</v>
      </c>
      <c r="K36" s="25">
        <f>IF(Table_1[[#This Row],[Thành phần 1]]&gt;10,10,Table_1[[#This Row],[Thành phần 1]])</f>
        <v>10</v>
      </c>
      <c r="L36" s="23">
        <v>9</v>
      </c>
      <c r="M36" s="23">
        <v>8.5</v>
      </c>
      <c r="N36" s="23">
        <v>8.3000000000000007</v>
      </c>
      <c r="O36" s="26">
        <f>Table_1[[#This Row],[Biểu đồ nâng cao (15% TP2)]]*0.15+Table_1[[#This Row],[Tư duy phân tích và xây dựng dashboard (15% TP2)]]*0.15+Table_1[[#This Row],[Thi giữa kỳ (70% TP2)]]*0.7</f>
        <v>8.4350000000000005</v>
      </c>
      <c r="P36" s="36">
        <f>Table_1[[#This Row],[Thành phần 1]]-Table_1[[#This Row],[Thành phần 1 chính thức (nếu Thành phần 1 &gt; 10 thì lấy 10)]]</f>
        <v>0</v>
      </c>
      <c r="Q36" s="36">
        <f>Table_1[[#This Row],[Thành phần 2]]+Table_1[[#This Row],[Điểm dư từ TP1 ]]/3</f>
        <v>8.4350000000000005</v>
      </c>
    </row>
    <row r="37" spans="1:17" ht="14.25" customHeight="1">
      <c r="A37" s="23" t="s">
        <v>45</v>
      </c>
      <c r="B37" s="23" t="s">
        <v>102</v>
      </c>
      <c r="C37" s="23" t="s">
        <v>21</v>
      </c>
      <c r="D37" s="23" t="s">
        <v>103</v>
      </c>
      <c r="E37" s="23">
        <v>10</v>
      </c>
      <c r="F37" s="23">
        <v>9.5</v>
      </c>
      <c r="G37" s="23">
        <v>9.5</v>
      </c>
      <c r="H37" s="24">
        <v>8</v>
      </c>
      <c r="I37" s="23">
        <v>1</v>
      </c>
      <c r="J37" s="25">
        <f>SUM(Table_1[[#This Row],[Điểm danh 1]:[Điểm cộng]])/4</f>
        <v>9.5</v>
      </c>
      <c r="K37" s="25">
        <f>IF(Table_1[[#This Row],[Thành phần 1]]&gt;10,10,Table_1[[#This Row],[Thành phần 1]])</f>
        <v>9.5</v>
      </c>
      <c r="L37" s="23">
        <v>9</v>
      </c>
      <c r="M37" s="23">
        <v>8.5</v>
      </c>
      <c r="N37" s="23">
        <v>8.3000000000000007</v>
      </c>
      <c r="O37" s="26">
        <f>Table_1[[#This Row],[Biểu đồ nâng cao (15% TP2)]]*0.15+Table_1[[#This Row],[Tư duy phân tích và xây dựng dashboard (15% TP2)]]*0.15+Table_1[[#This Row],[Thi giữa kỳ (70% TP2)]]*0.7</f>
        <v>8.4350000000000005</v>
      </c>
      <c r="P37" s="36">
        <f>Table_1[[#This Row],[Thành phần 1]]-Table_1[[#This Row],[Thành phần 1 chính thức (nếu Thành phần 1 &gt; 10 thì lấy 10)]]</f>
        <v>0</v>
      </c>
      <c r="Q37" s="36">
        <f>Table_1[[#This Row],[Thành phần 2]]+Table_1[[#This Row],[Điểm dư từ TP1 ]]/3</f>
        <v>8.4350000000000005</v>
      </c>
    </row>
    <row r="38" spans="1:17" ht="14.25" customHeight="1">
      <c r="A38" s="23" t="s">
        <v>45</v>
      </c>
      <c r="B38" s="23" t="s">
        <v>104</v>
      </c>
      <c r="C38" s="23" t="s">
        <v>24</v>
      </c>
      <c r="D38" s="23" t="s">
        <v>105</v>
      </c>
      <c r="E38" s="23">
        <v>10</v>
      </c>
      <c r="F38" s="23">
        <v>10</v>
      </c>
      <c r="G38" s="23">
        <v>9</v>
      </c>
      <c r="H38" s="24">
        <v>10</v>
      </c>
      <c r="I38" s="23"/>
      <c r="J38" s="25">
        <f>SUM(Table_1[[#This Row],[Điểm danh 1]:[Điểm cộng]])/4</f>
        <v>9.75</v>
      </c>
      <c r="K38" s="25">
        <f>IF(Table_1[[#This Row],[Thành phần 1]]&gt;10,10,Table_1[[#This Row],[Thành phần 1]])</f>
        <v>9.75</v>
      </c>
      <c r="L38" s="23">
        <v>9.1999999999999993</v>
      </c>
      <c r="M38" s="23">
        <v>9.1999999999999993</v>
      </c>
      <c r="N38" s="23">
        <v>8.6999999999999993</v>
      </c>
      <c r="O38" s="26">
        <f>Table_1[[#This Row],[Biểu đồ nâng cao (15% TP2)]]*0.15+Table_1[[#This Row],[Tư duy phân tích và xây dựng dashboard (15% TP2)]]*0.15+Table_1[[#This Row],[Thi giữa kỳ (70% TP2)]]*0.7</f>
        <v>8.8499999999999979</v>
      </c>
      <c r="P38" s="36">
        <f>Table_1[[#This Row],[Thành phần 1]]-Table_1[[#This Row],[Thành phần 1 chính thức (nếu Thành phần 1 &gt; 10 thì lấy 10)]]</f>
        <v>0</v>
      </c>
      <c r="Q38" s="36">
        <f>Table_1[[#This Row],[Thành phần 2]]+Table_1[[#This Row],[Điểm dư từ TP1 ]]/3</f>
        <v>8.8499999999999979</v>
      </c>
    </row>
    <row r="39" spans="1:17" ht="14.25" customHeight="1">
      <c r="A39" s="23" t="s">
        <v>45</v>
      </c>
      <c r="B39" s="23" t="s">
        <v>106</v>
      </c>
      <c r="C39" s="23" t="s">
        <v>24</v>
      </c>
      <c r="D39" s="23" t="s">
        <v>107</v>
      </c>
      <c r="E39" s="23">
        <v>10</v>
      </c>
      <c r="F39" s="23">
        <v>9.5</v>
      </c>
      <c r="G39" s="23">
        <v>9</v>
      </c>
      <c r="H39" s="24">
        <v>6.5</v>
      </c>
      <c r="I39" s="23"/>
      <c r="J39" s="25">
        <f>SUM(Table_1[[#This Row],[Điểm danh 1]:[Điểm cộng]])/4</f>
        <v>8.75</v>
      </c>
      <c r="K39" s="25">
        <f>IF(Table_1[[#This Row],[Thành phần 1]]&gt;10,10,Table_1[[#This Row],[Thành phần 1]])</f>
        <v>8.75</v>
      </c>
      <c r="L39" s="23">
        <v>9</v>
      </c>
      <c r="M39" s="23">
        <v>8.8000000000000007</v>
      </c>
      <c r="N39" s="23">
        <v>9.3000000000000007</v>
      </c>
      <c r="O39" s="26">
        <f>Table_1[[#This Row],[Biểu đồ nâng cao (15% TP2)]]*0.15+Table_1[[#This Row],[Tư duy phân tích và xây dựng dashboard (15% TP2)]]*0.15+Table_1[[#This Row],[Thi giữa kỳ (70% TP2)]]*0.7</f>
        <v>9.18</v>
      </c>
      <c r="P39" s="36">
        <f>Table_1[[#This Row],[Thành phần 1]]-Table_1[[#This Row],[Thành phần 1 chính thức (nếu Thành phần 1 &gt; 10 thì lấy 10)]]</f>
        <v>0</v>
      </c>
      <c r="Q39" s="36">
        <f>Table_1[[#This Row],[Thành phần 2]]+Table_1[[#This Row],[Điểm dư từ TP1 ]]/3</f>
        <v>9.18</v>
      </c>
    </row>
    <row r="40" spans="1:17" ht="14.25" customHeight="1">
      <c r="A40" s="23" t="s">
        <v>45</v>
      </c>
      <c r="B40" s="23" t="s">
        <v>108</v>
      </c>
      <c r="C40" s="23" t="s">
        <v>24</v>
      </c>
      <c r="D40" s="23" t="s">
        <v>109</v>
      </c>
      <c r="E40" s="23">
        <v>10</v>
      </c>
      <c r="F40" s="23">
        <v>10</v>
      </c>
      <c r="G40" s="23">
        <v>10</v>
      </c>
      <c r="H40" s="24">
        <v>10</v>
      </c>
      <c r="I40" s="23"/>
      <c r="J40" s="25">
        <f>SUM(Table_1[[#This Row],[Điểm danh 1]:[Điểm cộng]])/4</f>
        <v>10</v>
      </c>
      <c r="K40" s="25">
        <f>IF(Table_1[[#This Row],[Thành phần 1]]&gt;10,10,Table_1[[#This Row],[Thành phần 1]])</f>
        <v>10</v>
      </c>
      <c r="L40" s="23">
        <v>9</v>
      </c>
      <c r="M40" s="23">
        <v>8.1999999999999993</v>
      </c>
      <c r="N40" s="23">
        <v>9.4</v>
      </c>
      <c r="O40" s="26">
        <f>Table_1[[#This Row],[Biểu đồ nâng cao (15% TP2)]]*0.15+Table_1[[#This Row],[Tư duy phân tích và xây dựng dashboard (15% TP2)]]*0.15+Table_1[[#This Row],[Thi giữa kỳ (70% TP2)]]*0.7</f>
        <v>9.16</v>
      </c>
      <c r="P40" s="36">
        <f>Table_1[[#This Row],[Thành phần 1]]-Table_1[[#This Row],[Thành phần 1 chính thức (nếu Thành phần 1 &gt; 10 thì lấy 10)]]</f>
        <v>0</v>
      </c>
      <c r="Q40" s="36">
        <f>Table_1[[#This Row],[Thành phần 2]]+Table_1[[#This Row],[Điểm dư từ TP1 ]]/3</f>
        <v>9.16</v>
      </c>
    </row>
    <row r="41" spans="1:17" ht="14.25" customHeight="1">
      <c r="A41" s="23" t="s">
        <v>45</v>
      </c>
      <c r="B41" s="23" t="s">
        <v>110</v>
      </c>
      <c r="C41" s="23" t="s">
        <v>24</v>
      </c>
      <c r="D41" s="23" t="s">
        <v>111</v>
      </c>
      <c r="E41" s="23">
        <v>10</v>
      </c>
      <c r="F41" s="23">
        <v>10</v>
      </c>
      <c r="G41" s="23">
        <v>10</v>
      </c>
      <c r="H41" s="24">
        <v>7.5</v>
      </c>
      <c r="I41" s="23"/>
      <c r="J41" s="25">
        <f>SUM(Table_1[[#This Row],[Điểm danh 1]:[Điểm cộng]])/4</f>
        <v>9.375</v>
      </c>
      <c r="K41" s="25">
        <f>IF(Table_1[[#This Row],[Thành phần 1]]&gt;10,10,Table_1[[#This Row],[Thành phần 1]])</f>
        <v>9.375</v>
      </c>
      <c r="L41" s="23">
        <v>8.3000000000000007</v>
      </c>
      <c r="M41" s="23">
        <v>7.4</v>
      </c>
      <c r="N41" s="23">
        <v>8.4</v>
      </c>
      <c r="O41" s="26">
        <f>Table_1[[#This Row],[Biểu đồ nâng cao (15% TP2)]]*0.15+Table_1[[#This Row],[Tư duy phân tích và xây dựng dashboard (15% TP2)]]*0.15+Table_1[[#This Row],[Thi giữa kỳ (70% TP2)]]*0.7</f>
        <v>8.2349999999999994</v>
      </c>
      <c r="P41" s="36">
        <f>Table_1[[#This Row],[Thành phần 1]]-Table_1[[#This Row],[Thành phần 1 chính thức (nếu Thành phần 1 &gt; 10 thì lấy 10)]]</f>
        <v>0</v>
      </c>
      <c r="Q41" s="36">
        <f>Table_1[[#This Row],[Thành phần 2]]+Table_1[[#This Row],[Điểm dư từ TP1 ]]/3</f>
        <v>8.2349999999999994</v>
      </c>
    </row>
    <row r="42" spans="1:17" ht="14.25" customHeight="1">
      <c r="A42" s="23" t="s">
        <v>45</v>
      </c>
      <c r="B42" s="23" t="s">
        <v>112</v>
      </c>
      <c r="C42" s="23" t="s">
        <v>24</v>
      </c>
      <c r="D42" s="23" t="s">
        <v>113</v>
      </c>
      <c r="E42" s="23">
        <v>10</v>
      </c>
      <c r="F42" s="23">
        <v>10</v>
      </c>
      <c r="G42" s="23">
        <v>10</v>
      </c>
      <c r="H42" s="24">
        <v>10</v>
      </c>
      <c r="I42" s="23">
        <v>2</v>
      </c>
      <c r="J42" s="25">
        <f>SUM(Table_1[[#This Row],[Điểm danh 1]:[Điểm cộng]])/4</f>
        <v>10.5</v>
      </c>
      <c r="K42" s="25">
        <f>IF(Table_1[[#This Row],[Thành phần 1]]&gt;10,10,Table_1[[#This Row],[Thành phần 1]])</f>
        <v>10</v>
      </c>
      <c r="L42" s="23">
        <v>8.5</v>
      </c>
      <c r="M42" s="23">
        <v>9.4</v>
      </c>
      <c r="N42" s="23">
        <v>8.6</v>
      </c>
      <c r="O42" s="26">
        <f>Table_1[[#This Row],[Biểu đồ nâng cao (15% TP2)]]*0.15+Table_1[[#This Row],[Tư duy phân tích và xây dựng dashboard (15% TP2)]]*0.15+Table_1[[#This Row],[Thi giữa kỳ (70% TP2)]]*0.7</f>
        <v>8.7049999999999983</v>
      </c>
      <c r="P42" s="36">
        <f>Table_1[[#This Row],[Thành phần 1]]-Table_1[[#This Row],[Thành phần 1 chính thức (nếu Thành phần 1 &gt; 10 thì lấy 10)]]</f>
        <v>0.5</v>
      </c>
      <c r="Q42" s="36">
        <f>Table_1[[#This Row],[Thành phần 2]]+Table_1[[#This Row],[Điểm dư từ TP1 ]]/3</f>
        <v>8.8716666666666644</v>
      </c>
    </row>
    <row r="43" spans="1:17" ht="14.25" customHeight="1">
      <c r="A43" s="23" t="s">
        <v>45</v>
      </c>
      <c r="B43" s="23" t="s">
        <v>114</v>
      </c>
      <c r="C43" s="23" t="s">
        <v>115</v>
      </c>
      <c r="D43" s="23" t="s">
        <v>116</v>
      </c>
      <c r="E43" s="23">
        <v>10</v>
      </c>
      <c r="F43" s="23">
        <v>10</v>
      </c>
      <c r="G43" s="23">
        <v>10</v>
      </c>
      <c r="H43" s="24">
        <v>9.5</v>
      </c>
      <c r="I43" s="23">
        <v>2</v>
      </c>
      <c r="J43" s="25">
        <f>SUM(Table_1[[#This Row],[Điểm danh 1]:[Điểm cộng]])/4</f>
        <v>10.375</v>
      </c>
      <c r="K43" s="25">
        <f>IF(Table_1[[#This Row],[Thành phần 1]]&gt;10,10,Table_1[[#This Row],[Thành phần 1]])</f>
        <v>10</v>
      </c>
      <c r="L43" s="23">
        <v>8.5</v>
      </c>
      <c r="M43" s="23">
        <v>9.4</v>
      </c>
      <c r="N43" s="23">
        <v>8.6</v>
      </c>
      <c r="O43" s="26">
        <f>Table_1[[#This Row],[Biểu đồ nâng cao (15% TP2)]]*0.15+Table_1[[#This Row],[Tư duy phân tích và xây dựng dashboard (15% TP2)]]*0.15+Table_1[[#This Row],[Thi giữa kỳ (70% TP2)]]*0.7</f>
        <v>8.7049999999999983</v>
      </c>
      <c r="P43" s="36">
        <f>Table_1[[#This Row],[Thành phần 1]]-Table_1[[#This Row],[Thành phần 1 chính thức (nếu Thành phần 1 &gt; 10 thì lấy 10)]]</f>
        <v>0.375</v>
      </c>
      <c r="Q43" s="36">
        <f>Table_1[[#This Row],[Thành phần 2]]+Table_1[[#This Row],[Điểm dư từ TP1 ]]/3</f>
        <v>8.8299999999999983</v>
      </c>
    </row>
    <row r="44" spans="1:17" ht="14.25" customHeight="1">
      <c r="A44" s="23" t="s">
        <v>45</v>
      </c>
      <c r="B44" s="23" t="s">
        <v>117</v>
      </c>
      <c r="C44" s="23" t="s">
        <v>115</v>
      </c>
      <c r="D44" s="23" t="s">
        <v>118</v>
      </c>
      <c r="E44" s="23">
        <v>10</v>
      </c>
      <c r="F44" s="23">
        <v>9.5</v>
      </c>
      <c r="G44" s="23">
        <v>10</v>
      </c>
      <c r="H44" s="24">
        <v>9</v>
      </c>
      <c r="I44" s="23"/>
      <c r="J44" s="25">
        <f>SUM(Table_1[[#This Row],[Điểm danh 1]:[Điểm cộng]])/4</f>
        <v>9.625</v>
      </c>
      <c r="K44" s="25">
        <f>IF(Table_1[[#This Row],[Thành phần 1]]&gt;10,10,Table_1[[#This Row],[Thành phần 1]])</f>
        <v>9.625</v>
      </c>
      <c r="L44" s="23">
        <v>8.3000000000000007</v>
      </c>
      <c r="M44" s="23">
        <v>7.4</v>
      </c>
      <c r="N44" s="23">
        <v>8.4</v>
      </c>
      <c r="O44" s="26">
        <f>Table_1[[#This Row],[Biểu đồ nâng cao (15% TP2)]]*0.15+Table_1[[#This Row],[Tư duy phân tích và xây dựng dashboard (15% TP2)]]*0.15+Table_1[[#This Row],[Thi giữa kỳ (70% TP2)]]*0.7</f>
        <v>8.2349999999999994</v>
      </c>
      <c r="P44" s="36">
        <f>Table_1[[#This Row],[Thành phần 1]]-Table_1[[#This Row],[Thành phần 1 chính thức (nếu Thành phần 1 &gt; 10 thì lấy 10)]]</f>
        <v>0</v>
      </c>
      <c r="Q44" s="36">
        <f>Table_1[[#This Row],[Thành phần 2]]+Table_1[[#This Row],[Điểm dư từ TP1 ]]/3</f>
        <v>8.2349999999999994</v>
      </c>
    </row>
    <row r="45" spans="1:17" ht="14.25" customHeight="1">
      <c r="A45" s="23" t="s">
        <v>45</v>
      </c>
      <c r="B45" s="23" t="s">
        <v>119</v>
      </c>
      <c r="C45" s="23" t="s">
        <v>120</v>
      </c>
      <c r="D45" s="23" t="s">
        <v>121</v>
      </c>
      <c r="E45" s="23">
        <v>10</v>
      </c>
      <c r="F45" s="23">
        <v>9.5</v>
      </c>
      <c r="G45" s="23">
        <v>8.5</v>
      </c>
      <c r="H45" s="24">
        <v>8</v>
      </c>
      <c r="I45" s="23">
        <v>3</v>
      </c>
      <c r="J45" s="25">
        <f>SUM(Table_1[[#This Row],[Điểm danh 1]:[Điểm cộng]])/4</f>
        <v>9.75</v>
      </c>
      <c r="K45" s="25">
        <f>IF(Table_1[[#This Row],[Thành phần 1]]&gt;10,10,Table_1[[#This Row],[Thành phần 1]])</f>
        <v>9.75</v>
      </c>
      <c r="L45" s="23">
        <v>9.1999999999999993</v>
      </c>
      <c r="M45" s="23">
        <v>8</v>
      </c>
      <c r="N45" s="23">
        <v>9</v>
      </c>
      <c r="O45" s="26">
        <f>Table_1[[#This Row],[Biểu đồ nâng cao (15% TP2)]]*0.15+Table_1[[#This Row],[Tư duy phân tích và xây dựng dashboard (15% TP2)]]*0.15+Table_1[[#This Row],[Thi giữa kỳ (70% TP2)]]*0.7</f>
        <v>8.879999999999999</v>
      </c>
      <c r="P45" s="36">
        <f>Table_1[[#This Row],[Thành phần 1]]-Table_1[[#This Row],[Thành phần 1 chính thức (nếu Thành phần 1 &gt; 10 thì lấy 10)]]</f>
        <v>0</v>
      </c>
      <c r="Q45" s="36">
        <f>Table_1[[#This Row],[Thành phần 2]]+Table_1[[#This Row],[Điểm dư từ TP1 ]]/3</f>
        <v>8.879999999999999</v>
      </c>
    </row>
    <row r="46" spans="1:17" ht="14.25" customHeight="1">
      <c r="A46" s="23" t="s">
        <v>45</v>
      </c>
      <c r="B46" s="23" t="s">
        <v>122</v>
      </c>
      <c r="C46" s="23" t="s">
        <v>123</v>
      </c>
      <c r="D46" s="23" t="s">
        <v>124</v>
      </c>
      <c r="E46" s="23">
        <v>10</v>
      </c>
      <c r="F46" s="23">
        <v>10</v>
      </c>
      <c r="G46" s="23">
        <v>7.5</v>
      </c>
      <c r="H46" s="24">
        <v>8.5</v>
      </c>
      <c r="I46" s="23"/>
      <c r="J46" s="25">
        <f>SUM(Table_1[[#This Row],[Điểm danh 1]:[Điểm cộng]])/4</f>
        <v>9</v>
      </c>
      <c r="K46" s="25">
        <f>IF(Table_1[[#This Row],[Thành phần 1]]&gt;10,10,Table_1[[#This Row],[Thành phần 1]])</f>
        <v>9</v>
      </c>
      <c r="L46" s="23">
        <v>9.1999999999999993</v>
      </c>
      <c r="M46" s="23">
        <v>8</v>
      </c>
      <c r="N46" s="23">
        <v>9</v>
      </c>
      <c r="O46" s="26">
        <f>Table_1[[#This Row],[Biểu đồ nâng cao (15% TP2)]]*0.15+Table_1[[#This Row],[Tư duy phân tích và xây dựng dashboard (15% TP2)]]*0.15+Table_1[[#This Row],[Thi giữa kỳ (70% TP2)]]*0.7</f>
        <v>8.879999999999999</v>
      </c>
      <c r="P46" s="36">
        <f>Table_1[[#This Row],[Thành phần 1]]-Table_1[[#This Row],[Thành phần 1 chính thức (nếu Thành phần 1 &gt; 10 thì lấy 10)]]</f>
        <v>0</v>
      </c>
      <c r="Q46" s="36">
        <f>Table_1[[#This Row],[Thành phần 2]]+Table_1[[#This Row],[Điểm dư từ TP1 ]]/3</f>
        <v>8.879999999999999</v>
      </c>
    </row>
    <row r="47" spans="1:17" ht="14.25" customHeight="1">
      <c r="A47" s="23" t="s">
        <v>45</v>
      </c>
      <c r="B47" s="23" t="s">
        <v>125</v>
      </c>
      <c r="C47" s="23" t="s">
        <v>126</v>
      </c>
      <c r="D47" s="23" t="s">
        <v>127</v>
      </c>
      <c r="E47" s="23">
        <v>10</v>
      </c>
      <c r="F47" s="23">
        <v>10</v>
      </c>
      <c r="G47" s="23">
        <v>9</v>
      </c>
      <c r="H47" s="24">
        <v>9.5</v>
      </c>
      <c r="I47" s="23"/>
      <c r="J47" s="25">
        <f>SUM(Table_1[[#This Row],[Điểm danh 1]:[Điểm cộng]])/4</f>
        <v>9.625</v>
      </c>
      <c r="K47" s="25">
        <f>IF(Table_1[[#This Row],[Thành phần 1]]&gt;10,10,Table_1[[#This Row],[Thành phần 1]])</f>
        <v>9.625</v>
      </c>
      <c r="L47" s="23">
        <v>8.3000000000000007</v>
      </c>
      <c r="M47" s="23">
        <v>7.5</v>
      </c>
      <c r="N47" s="23">
        <v>8.3000000000000007</v>
      </c>
      <c r="O47" s="26">
        <f>Table_1[[#This Row],[Biểu đồ nâng cao (15% TP2)]]*0.15+Table_1[[#This Row],[Tư duy phân tích và xây dựng dashboard (15% TP2)]]*0.15+Table_1[[#This Row],[Thi giữa kỳ (70% TP2)]]*0.7</f>
        <v>8.18</v>
      </c>
      <c r="P47" s="36">
        <f>Table_1[[#This Row],[Thành phần 1]]-Table_1[[#This Row],[Thành phần 1 chính thức (nếu Thành phần 1 &gt; 10 thì lấy 10)]]</f>
        <v>0</v>
      </c>
      <c r="Q47" s="36">
        <f>Table_1[[#This Row],[Thành phần 2]]+Table_1[[#This Row],[Điểm dư từ TP1 ]]/3</f>
        <v>8.18</v>
      </c>
    </row>
    <row r="48" spans="1:17" ht="14.25" customHeight="1">
      <c r="A48" s="23" t="s">
        <v>45</v>
      </c>
      <c r="B48" s="23" t="s">
        <v>128</v>
      </c>
      <c r="C48" s="23" t="s">
        <v>129</v>
      </c>
      <c r="D48" s="23" t="s">
        <v>130</v>
      </c>
      <c r="E48" s="23">
        <v>10</v>
      </c>
      <c r="F48" s="23">
        <v>10</v>
      </c>
      <c r="G48" s="23">
        <v>10</v>
      </c>
      <c r="H48" s="24">
        <v>9</v>
      </c>
      <c r="I48" s="23"/>
      <c r="J48" s="25">
        <f>SUM(Table_1[[#This Row],[Điểm danh 1]:[Điểm cộng]])/4</f>
        <v>9.75</v>
      </c>
      <c r="K48" s="25">
        <f>IF(Table_1[[#This Row],[Thành phần 1]]&gt;10,10,Table_1[[#This Row],[Thành phần 1]])</f>
        <v>9.75</v>
      </c>
      <c r="L48" s="23">
        <v>9.1999999999999993</v>
      </c>
      <c r="M48" s="23">
        <v>8</v>
      </c>
      <c r="N48" s="23">
        <v>9</v>
      </c>
      <c r="O48" s="26">
        <f>Table_1[[#This Row],[Biểu đồ nâng cao (15% TP2)]]*0.15+Table_1[[#This Row],[Tư duy phân tích và xây dựng dashboard (15% TP2)]]*0.15+Table_1[[#This Row],[Thi giữa kỳ (70% TP2)]]*0.7</f>
        <v>8.879999999999999</v>
      </c>
      <c r="P48" s="36">
        <f>Table_1[[#This Row],[Thành phần 1]]-Table_1[[#This Row],[Thành phần 1 chính thức (nếu Thành phần 1 &gt; 10 thì lấy 10)]]</f>
        <v>0</v>
      </c>
      <c r="Q48" s="36">
        <f>Table_1[[#This Row],[Thành phần 2]]+Table_1[[#This Row],[Điểm dư từ TP1 ]]/3</f>
        <v>8.879999999999999</v>
      </c>
    </row>
    <row r="49" spans="1:17" ht="14.25" customHeight="1">
      <c r="A49" s="23" t="s">
        <v>45</v>
      </c>
      <c r="B49" s="23" t="s">
        <v>131</v>
      </c>
      <c r="C49" s="23" t="s">
        <v>15</v>
      </c>
      <c r="D49" s="23" t="s">
        <v>132</v>
      </c>
      <c r="E49" s="23">
        <v>10</v>
      </c>
      <c r="F49" s="23">
        <v>10</v>
      </c>
      <c r="G49" s="23">
        <v>9</v>
      </c>
      <c r="H49" s="24">
        <v>9.5</v>
      </c>
      <c r="I49" s="23"/>
      <c r="J49" s="25">
        <f>SUM(Table_1[[#This Row],[Điểm danh 1]:[Điểm cộng]])/4</f>
        <v>9.625</v>
      </c>
      <c r="K49" s="25">
        <f>IF(Table_1[[#This Row],[Thành phần 1]]&gt;10,10,Table_1[[#This Row],[Thành phần 1]])</f>
        <v>9.625</v>
      </c>
      <c r="L49" s="23">
        <v>9</v>
      </c>
      <c r="M49" s="23">
        <v>8.8000000000000007</v>
      </c>
      <c r="N49" s="23">
        <v>9.3000000000000007</v>
      </c>
      <c r="O49" s="26">
        <f>Table_1[[#This Row],[Biểu đồ nâng cao (15% TP2)]]*0.15+Table_1[[#This Row],[Tư duy phân tích và xây dựng dashboard (15% TP2)]]*0.15+Table_1[[#This Row],[Thi giữa kỳ (70% TP2)]]*0.7</f>
        <v>9.18</v>
      </c>
      <c r="P49" s="36">
        <f>Table_1[[#This Row],[Thành phần 1]]-Table_1[[#This Row],[Thành phần 1 chính thức (nếu Thành phần 1 &gt; 10 thì lấy 10)]]</f>
        <v>0</v>
      </c>
      <c r="Q49" s="36">
        <f>Table_1[[#This Row],[Thành phần 2]]+Table_1[[#This Row],[Điểm dư từ TP1 ]]/3</f>
        <v>9.18</v>
      </c>
    </row>
    <row r="50" spans="1:17" ht="14.25" customHeight="1">
      <c r="A50" s="23" t="s">
        <v>45</v>
      </c>
      <c r="B50" s="23" t="s">
        <v>133</v>
      </c>
      <c r="C50" s="23" t="s">
        <v>37</v>
      </c>
      <c r="D50" s="23" t="s">
        <v>134</v>
      </c>
      <c r="E50" s="23">
        <v>10</v>
      </c>
      <c r="F50" s="23">
        <v>9.5</v>
      </c>
      <c r="G50" s="23">
        <v>10</v>
      </c>
      <c r="H50" s="24">
        <v>9</v>
      </c>
      <c r="I50" s="23"/>
      <c r="J50" s="25">
        <f>SUM(Table_1[[#This Row],[Điểm danh 1]:[Điểm cộng]])/4</f>
        <v>9.625</v>
      </c>
      <c r="K50" s="25">
        <f>IF(Table_1[[#This Row],[Thành phần 1]]&gt;10,10,Table_1[[#This Row],[Thành phần 1]])</f>
        <v>9.625</v>
      </c>
      <c r="L50" s="23">
        <v>8.3000000000000007</v>
      </c>
      <c r="M50" s="23">
        <v>7.5</v>
      </c>
      <c r="N50" s="23">
        <v>8.3000000000000007</v>
      </c>
      <c r="O50" s="26">
        <f>Table_1[[#This Row],[Biểu đồ nâng cao (15% TP2)]]*0.15+Table_1[[#This Row],[Tư duy phân tích và xây dựng dashboard (15% TP2)]]*0.15+Table_1[[#This Row],[Thi giữa kỳ (70% TP2)]]*0.7</f>
        <v>8.18</v>
      </c>
      <c r="P50" s="36">
        <f>Table_1[[#This Row],[Thành phần 1]]-Table_1[[#This Row],[Thành phần 1 chính thức (nếu Thành phần 1 &gt; 10 thì lấy 10)]]</f>
        <v>0</v>
      </c>
      <c r="Q50" s="36">
        <f>Table_1[[#This Row],[Thành phần 2]]+Table_1[[#This Row],[Điểm dư từ TP1 ]]/3</f>
        <v>8.18</v>
      </c>
    </row>
    <row r="51" spans="1:17" ht="14.25" customHeight="1">
      <c r="A51" s="23" t="s">
        <v>45</v>
      </c>
      <c r="B51" s="23" t="s">
        <v>135</v>
      </c>
      <c r="C51" s="23" t="s">
        <v>136</v>
      </c>
      <c r="D51" s="23" t="s">
        <v>137</v>
      </c>
      <c r="E51" s="23">
        <v>10</v>
      </c>
      <c r="F51" s="23">
        <v>9.5</v>
      </c>
      <c r="G51" s="23">
        <v>9.5</v>
      </c>
      <c r="H51" s="24">
        <v>7.5</v>
      </c>
      <c r="I51" s="23">
        <v>1</v>
      </c>
      <c r="J51" s="25">
        <f>SUM(Table_1[[#This Row],[Điểm danh 1]:[Điểm cộng]])/4</f>
        <v>9.375</v>
      </c>
      <c r="K51" s="25">
        <f>IF(Table_1[[#This Row],[Thành phần 1]]&gt;10,10,Table_1[[#This Row],[Thành phần 1]])</f>
        <v>9.375</v>
      </c>
      <c r="L51" s="23">
        <v>8.5</v>
      </c>
      <c r="M51" s="23">
        <v>9.4</v>
      </c>
      <c r="N51" s="23">
        <v>8.6</v>
      </c>
      <c r="O51" s="26">
        <f>Table_1[[#This Row],[Biểu đồ nâng cao (15% TP2)]]*0.15+Table_1[[#This Row],[Tư duy phân tích và xây dựng dashboard (15% TP2)]]*0.15+Table_1[[#This Row],[Thi giữa kỳ (70% TP2)]]*0.7</f>
        <v>8.7049999999999983</v>
      </c>
      <c r="P51" s="36">
        <f>Table_1[[#This Row],[Thành phần 1]]-Table_1[[#This Row],[Thành phần 1 chính thức (nếu Thành phần 1 &gt; 10 thì lấy 10)]]</f>
        <v>0</v>
      </c>
      <c r="Q51" s="36">
        <f>Table_1[[#This Row],[Thành phần 2]]+Table_1[[#This Row],[Điểm dư từ TP1 ]]/3</f>
        <v>8.7049999999999983</v>
      </c>
    </row>
    <row r="52" spans="1:17" ht="14.25" customHeight="1">
      <c r="A52" s="23" t="s">
        <v>45</v>
      </c>
      <c r="B52" s="23" t="s">
        <v>138</v>
      </c>
      <c r="C52" s="23" t="s">
        <v>139</v>
      </c>
      <c r="D52" s="23" t="s">
        <v>140</v>
      </c>
      <c r="E52" s="23">
        <v>10</v>
      </c>
      <c r="F52" s="23">
        <v>10</v>
      </c>
      <c r="G52" s="23">
        <v>9.5</v>
      </c>
      <c r="H52" s="24">
        <v>10</v>
      </c>
      <c r="I52" s="23">
        <v>3</v>
      </c>
      <c r="J52" s="25">
        <f>SUM(Table_1[[#This Row],[Điểm danh 1]:[Điểm cộng]])/4</f>
        <v>10.625</v>
      </c>
      <c r="K52" s="25">
        <f>IF(Table_1[[#This Row],[Thành phần 1]]&gt;10,10,Table_1[[#This Row],[Thành phần 1]])</f>
        <v>10</v>
      </c>
      <c r="L52" s="23">
        <v>9.1999999999999993</v>
      </c>
      <c r="M52" s="23">
        <v>8</v>
      </c>
      <c r="N52" s="23">
        <v>9</v>
      </c>
      <c r="O52" s="26">
        <f>Table_1[[#This Row],[Biểu đồ nâng cao (15% TP2)]]*0.15+Table_1[[#This Row],[Tư duy phân tích và xây dựng dashboard (15% TP2)]]*0.15+Table_1[[#This Row],[Thi giữa kỳ (70% TP2)]]*0.7</f>
        <v>8.879999999999999</v>
      </c>
      <c r="P52" s="36">
        <f>Table_1[[#This Row],[Thành phần 1]]-Table_1[[#This Row],[Thành phần 1 chính thức (nếu Thành phần 1 &gt; 10 thì lấy 10)]]</f>
        <v>0.625</v>
      </c>
      <c r="Q52" s="36">
        <f>Table_1[[#This Row],[Thành phần 2]]+Table_1[[#This Row],[Điểm dư từ TP1 ]]/3</f>
        <v>9.0883333333333329</v>
      </c>
    </row>
    <row r="53" spans="1:17" ht="14.25" customHeight="1">
      <c r="A53" s="23" t="s">
        <v>45</v>
      </c>
      <c r="B53" s="23" t="s">
        <v>141</v>
      </c>
      <c r="C53" s="23" t="s">
        <v>142</v>
      </c>
      <c r="D53" s="23" t="s">
        <v>143</v>
      </c>
      <c r="E53" s="23">
        <v>10</v>
      </c>
      <c r="F53" s="23">
        <v>10</v>
      </c>
      <c r="G53" s="23">
        <v>10</v>
      </c>
      <c r="H53" s="24">
        <v>10</v>
      </c>
      <c r="I53" s="23">
        <v>3</v>
      </c>
      <c r="J53" s="25">
        <f>SUM(Table_1[[#This Row],[Điểm danh 1]:[Điểm cộng]])/4</f>
        <v>10.75</v>
      </c>
      <c r="K53" s="25">
        <f>IF(Table_1[[#This Row],[Thành phần 1]]&gt;10,10,Table_1[[#This Row],[Thành phần 1]])</f>
        <v>10</v>
      </c>
      <c r="L53" s="23">
        <v>8.5</v>
      </c>
      <c r="M53" s="23">
        <v>9.4</v>
      </c>
      <c r="N53" s="23">
        <v>8.6</v>
      </c>
      <c r="O53" s="26">
        <f>Table_1[[#This Row],[Biểu đồ nâng cao (15% TP2)]]*0.15+Table_1[[#This Row],[Tư duy phân tích và xây dựng dashboard (15% TP2)]]*0.15+Table_1[[#This Row],[Thi giữa kỳ (70% TP2)]]*0.7</f>
        <v>8.7049999999999983</v>
      </c>
      <c r="P53" s="36">
        <f>Table_1[[#This Row],[Thành phần 1]]-Table_1[[#This Row],[Thành phần 1 chính thức (nếu Thành phần 1 &gt; 10 thì lấy 10)]]</f>
        <v>0.75</v>
      </c>
      <c r="Q53" s="36">
        <f>Table_1[[#This Row],[Thành phần 2]]+Table_1[[#This Row],[Điểm dư từ TP1 ]]/3</f>
        <v>8.9549999999999983</v>
      </c>
    </row>
    <row r="54" spans="1:17" ht="14.25" customHeight="1">
      <c r="A54" s="23" t="s">
        <v>45</v>
      </c>
      <c r="B54" s="23" t="s">
        <v>144</v>
      </c>
      <c r="C54" s="23" t="s">
        <v>2</v>
      </c>
      <c r="D54" s="23" t="s">
        <v>145</v>
      </c>
      <c r="E54" s="23">
        <v>10</v>
      </c>
      <c r="F54" s="23">
        <v>8</v>
      </c>
      <c r="G54" s="23">
        <v>8</v>
      </c>
      <c r="H54" s="24">
        <v>7</v>
      </c>
      <c r="I54" s="23"/>
      <c r="J54" s="25">
        <f>SUM(Table_1[[#This Row],[Điểm danh 1]:[Điểm cộng]])/4</f>
        <v>8.25</v>
      </c>
      <c r="K54" s="25">
        <f>IF(Table_1[[#This Row],[Thành phần 1]]&gt;10,10,Table_1[[#This Row],[Thành phần 1]])</f>
        <v>8.25</v>
      </c>
      <c r="L54" s="23">
        <v>7.7</v>
      </c>
      <c r="M54" s="23">
        <v>8.6999999999999993</v>
      </c>
      <c r="N54" s="23">
        <v>6.5</v>
      </c>
      <c r="O54" s="26">
        <f>Table_1[[#This Row],[Biểu đồ nâng cao (15% TP2)]]*0.15+Table_1[[#This Row],[Tư duy phân tích và xây dựng dashboard (15% TP2)]]*0.15+Table_1[[#This Row],[Thi giữa kỳ (70% TP2)]]*0.7</f>
        <v>7.01</v>
      </c>
      <c r="P54" s="36">
        <f>Table_1[[#This Row],[Thành phần 1]]-Table_1[[#This Row],[Thành phần 1 chính thức (nếu Thành phần 1 &gt; 10 thì lấy 10)]]</f>
        <v>0</v>
      </c>
      <c r="Q54" s="36">
        <f>Table_1[[#This Row],[Thành phần 2]]+Table_1[[#This Row],[Điểm dư từ TP1 ]]/3</f>
        <v>7.01</v>
      </c>
    </row>
    <row r="55" spans="1:17" ht="14.25" customHeight="1">
      <c r="A55" s="23" t="s">
        <v>45</v>
      </c>
      <c r="B55" s="23" t="s">
        <v>146</v>
      </c>
      <c r="C55" s="23" t="s">
        <v>147</v>
      </c>
      <c r="D55" s="23" t="s">
        <v>148</v>
      </c>
      <c r="E55" s="23">
        <v>10</v>
      </c>
      <c r="F55" s="23">
        <v>8.5</v>
      </c>
      <c r="G55" s="23">
        <v>8</v>
      </c>
      <c r="H55" s="24">
        <v>6.5</v>
      </c>
      <c r="I55" s="23"/>
      <c r="J55" s="25">
        <f>SUM(Table_1[[#This Row],[Điểm danh 1]:[Điểm cộng]])/4</f>
        <v>8.25</v>
      </c>
      <c r="K55" s="25">
        <f>IF(Table_1[[#This Row],[Thành phần 1]]&gt;10,10,Table_1[[#This Row],[Thành phần 1]])</f>
        <v>8.25</v>
      </c>
      <c r="L55" s="23">
        <v>8.3000000000000007</v>
      </c>
      <c r="M55" s="23">
        <v>8.6999999999999993</v>
      </c>
      <c r="N55" s="23">
        <v>8.6999999999999993</v>
      </c>
      <c r="O55" s="26">
        <f>Table_1[[#This Row],[Biểu đồ nâng cao (15% TP2)]]*0.15+Table_1[[#This Row],[Tư duy phân tích và xây dựng dashboard (15% TP2)]]*0.15+Table_1[[#This Row],[Thi giữa kỳ (70% TP2)]]*0.7</f>
        <v>8.6399999999999988</v>
      </c>
      <c r="P55" s="36">
        <f>Table_1[[#This Row],[Thành phần 1]]-Table_1[[#This Row],[Thành phần 1 chính thức (nếu Thành phần 1 &gt; 10 thì lấy 10)]]</f>
        <v>0</v>
      </c>
      <c r="Q55" s="36">
        <f>Table_1[[#This Row],[Thành phần 2]]+Table_1[[#This Row],[Điểm dư từ TP1 ]]/3</f>
        <v>8.6399999999999988</v>
      </c>
    </row>
    <row r="56" spans="1:17" ht="14.25" customHeight="1">
      <c r="A56" s="23" t="s">
        <v>45</v>
      </c>
      <c r="B56" s="23" t="s">
        <v>149</v>
      </c>
      <c r="C56" s="23" t="s">
        <v>150</v>
      </c>
      <c r="D56" s="23" t="s">
        <v>151</v>
      </c>
      <c r="E56" s="23">
        <v>10</v>
      </c>
      <c r="F56" s="23">
        <v>7.5</v>
      </c>
      <c r="G56" s="23">
        <v>10</v>
      </c>
      <c r="H56" s="24">
        <v>7.5</v>
      </c>
      <c r="I56" s="23"/>
      <c r="J56" s="25">
        <f>SUM(Table_1[[#This Row],[Điểm danh 1]:[Điểm cộng]])/4</f>
        <v>8.75</v>
      </c>
      <c r="K56" s="25">
        <f>IF(Table_1[[#This Row],[Thành phần 1]]&gt;10,10,Table_1[[#This Row],[Thành phần 1]])</f>
        <v>8.75</v>
      </c>
      <c r="L56" s="23">
        <v>8.3000000000000007</v>
      </c>
      <c r="M56" s="23">
        <v>7.5</v>
      </c>
      <c r="N56" s="23">
        <v>8.3000000000000007</v>
      </c>
      <c r="O56" s="26">
        <f>Table_1[[#This Row],[Biểu đồ nâng cao (15% TP2)]]*0.15+Table_1[[#This Row],[Tư duy phân tích và xây dựng dashboard (15% TP2)]]*0.15+Table_1[[#This Row],[Thi giữa kỳ (70% TP2)]]*0.7</f>
        <v>8.18</v>
      </c>
      <c r="P56" s="36">
        <f>Table_1[[#This Row],[Thành phần 1]]-Table_1[[#This Row],[Thành phần 1 chính thức (nếu Thành phần 1 &gt; 10 thì lấy 10)]]</f>
        <v>0</v>
      </c>
      <c r="Q56" s="36">
        <f>Table_1[[#This Row],[Thành phần 2]]+Table_1[[#This Row],[Điểm dư từ TP1 ]]/3</f>
        <v>8.18</v>
      </c>
    </row>
    <row r="57" spans="1:17" ht="14.25" customHeight="1">
      <c r="A57" s="23" t="s">
        <v>45</v>
      </c>
      <c r="B57" s="23" t="s">
        <v>152</v>
      </c>
      <c r="C57" s="23" t="s">
        <v>153</v>
      </c>
      <c r="D57" s="23" t="s">
        <v>154</v>
      </c>
      <c r="E57" s="23">
        <v>10</v>
      </c>
      <c r="F57" s="23">
        <v>9</v>
      </c>
      <c r="G57" s="23">
        <v>0</v>
      </c>
      <c r="H57" s="23">
        <v>0</v>
      </c>
      <c r="I57" s="23"/>
      <c r="J57" s="25">
        <f>SUM(Table_1[[#This Row],[Điểm danh 1]:[Điểm cộng]])/4</f>
        <v>4.75</v>
      </c>
      <c r="K57" s="25">
        <f>IF(Table_1[[#This Row],[Thành phần 1]]&gt;10,10,Table_1[[#This Row],[Thành phần 1]])</f>
        <v>4.75</v>
      </c>
      <c r="L57" s="23">
        <v>0</v>
      </c>
      <c r="M57" s="23">
        <v>3.5</v>
      </c>
      <c r="N57" s="23">
        <v>0</v>
      </c>
      <c r="O57" s="26">
        <f>Table_1[[#This Row],[Biểu đồ nâng cao (15% TP2)]]*0.15+Table_1[[#This Row],[Tư duy phân tích và xây dựng dashboard (15% TP2)]]*0.15+Table_1[[#This Row],[Thi giữa kỳ (70% TP2)]]*0.7</f>
        <v>0.52500000000000002</v>
      </c>
      <c r="P57" s="36">
        <f>Table_1[[#This Row],[Thành phần 1]]-Table_1[[#This Row],[Thành phần 1 chính thức (nếu Thành phần 1 &gt; 10 thì lấy 10)]]</f>
        <v>0</v>
      </c>
      <c r="Q57" s="36">
        <f>Table_1[[#This Row],[Thành phần 2]]+Table_1[[#This Row],[Điểm dư từ TP1 ]]/3</f>
        <v>0.52500000000000002</v>
      </c>
    </row>
    <row r="58" spans="1:17" ht="14.25" customHeight="1">
      <c r="A58" s="23" t="s">
        <v>45</v>
      </c>
      <c r="B58" s="23" t="s">
        <v>155</v>
      </c>
      <c r="C58" s="23" t="s">
        <v>156</v>
      </c>
      <c r="D58" s="23" t="s">
        <v>157</v>
      </c>
      <c r="E58" s="23">
        <v>10</v>
      </c>
      <c r="F58" s="23">
        <v>10</v>
      </c>
      <c r="G58" s="23">
        <v>9.5</v>
      </c>
      <c r="H58" s="24">
        <v>9.5</v>
      </c>
      <c r="I58" s="23">
        <v>1</v>
      </c>
      <c r="J58" s="25">
        <f>SUM(Table_1[[#This Row],[Điểm danh 1]:[Điểm cộng]])/4</f>
        <v>10</v>
      </c>
      <c r="K58" s="25">
        <f>IF(Table_1[[#This Row],[Thành phần 1]]&gt;10,10,Table_1[[#This Row],[Thành phần 1]])</f>
        <v>10</v>
      </c>
      <c r="L58" s="23">
        <v>8.5</v>
      </c>
      <c r="M58" s="23">
        <v>9.4</v>
      </c>
      <c r="N58" s="23">
        <v>8.6</v>
      </c>
      <c r="O58" s="26">
        <f>Table_1[[#This Row],[Biểu đồ nâng cao (15% TP2)]]*0.15+Table_1[[#This Row],[Tư duy phân tích và xây dựng dashboard (15% TP2)]]*0.15+Table_1[[#This Row],[Thi giữa kỳ (70% TP2)]]*0.7</f>
        <v>8.7049999999999983</v>
      </c>
      <c r="P58" s="36">
        <f>Table_1[[#This Row],[Thành phần 1]]-Table_1[[#This Row],[Thành phần 1 chính thức (nếu Thành phần 1 &gt; 10 thì lấy 10)]]</f>
        <v>0</v>
      </c>
      <c r="Q58" s="36">
        <f>Table_1[[#This Row],[Thành phần 2]]+Table_1[[#This Row],[Điểm dư từ TP1 ]]/3</f>
        <v>8.7049999999999983</v>
      </c>
    </row>
    <row r="59" spans="1:17" ht="14.25" customHeight="1">
      <c r="A59" s="23" t="s">
        <v>45</v>
      </c>
      <c r="B59" s="23" t="s">
        <v>158</v>
      </c>
      <c r="C59" s="23" t="s">
        <v>159</v>
      </c>
      <c r="D59" s="23" t="s">
        <v>160</v>
      </c>
      <c r="E59" s="23">
        <v>10</v>
      </c>
      <c r="F59" s="23">
        <v>10</v>
      </c>
      <c r="G59" s="23">
        <v>10</v>
      </c>
      <c r="H59" s="24">
        <v>10</v>
      </c>
      <c r="I59" s="23">
        <v>3</v>
      </c>
      <c r="J59" s="25">
        <f>SUM(Table_1[[#This Row],[Điểm danh 1]:[Điểm cộng]])/4</f>
        <v>10.75</v>
      </c>
      <c r="K59" s="25">
        <f>IF(Table_1[[#This Row],[Thành phần 1]]&gt;10,10,Table_1[[#This Row],[Thành phần 1]])</f>
        <v>10</v>
      </c>
      <c r="L59" s="23">
        <v>8.3000000000000007</v>
      </c>
      <c r="M59" s="23">
        <v>7.4</v>
      </c>
      <c r="N59" s="23">
        <v>8.4</v>
      </c>
      <c r="O59" s="26">
        <f>Table_1[[#This Row],[Biểu đồ nâng cao (15% TP2)]]*0.15+Table_1[[#This Row],[Tư duy phân tích và xây dựng dashboard (15% TP2)]]*0.15+Table_1[[#This Row],[Thi giữa kỳ (70% TP2)]]*0.7</f>
        <v>8.2349999999999994</v>
      </c>
      <c r="P59" s="36">
        <f>Table_1[[#This Row],[Thành phần 1]]-Table_1[[#This Row],[Thành phần 1 chính thức (nếu Thành phần 1 &gt; 10 thì lấy 10)]]</f>
        <v>0.75</v>
      </c>
      <c r="Q59" s="36">
        <f>Table_1[[#This Row],[Thành phần 2]]+Table_1[[#This Row],[Điểm dư từ TP1 ]]/3</f>
        <v>8.4849999999999994</v>
      </c>
    </row>
    <row r="60" spans="1:17" ht="14.25" customHeight="1">
      <c r="A60" s="23" t="s">
        <v>45</v>
      </c>
      <c r="B60" s="23" t="s">
        <v>161</v>
      </c>
      <c r="C60" s="23" t="s">
        <v>162</v>
      </c>
      <c r="D60" s="23" t="s">
        <v>163</v>
      </c>
      <c r="E60" s="23">
        <v>10</v>
      </c>
      <c r="F60" s="23">
        <v>10</v>
      </c>
      <c r="G60" s="23">
        <v>9.5</v>
      </c>
      <c r="H60" s="24">
        <v>10</v>
      </c>
      <c r="I60" s="23"/>
      <c r="J60" s="25">
        <f>SUM(Table_1[[#This Row],[Điểm danh 1]:[Điểm cộng]])/4</f>
        <v>9.875</v>
      </c>
      <c r="K60" s="25">
        <f>IF(Table_1[[#This Row],[Thành phần 1]]&gt;10,10,Table_1[[#This Row],[Thành phần 1]])</f>
        <v>9.875</v>
      </c>
      <c r="L60" s="23">
        <v>8.3000000000000007</v>
      </c>
      <c r="M60" s="23">
        <v>7.4</v>
      </c>
      <c r="N60" s="23">
        <v>8.4</v>
      </c>
      <c r="O60" s="26">
        <f>Table_1[[#This Row],[Biểu đồ nâng cao (15% TP2)]]*0.15+Table_1[[#This Row],[Tư duy phân tích và xây dựng dashboard (15% TP2)]]*0.15+Table_1[[#This Row],[Thi giữa kỳ (70% TP2)]]*0.7</f>
        <v>8.2349999999999994</v>
      </c>
      <c r="P60" s="36">
        <f>Table_1[[#This Row],[Thành phần 1]]-Table_1[[#This Row],[Thành phần 1 chính thức (nếu Thành phần 1 &gt; 10 thì lấy 10)]]</f>
        <v>0</v>
      </c>
      <c r="Q60" s="36">
        <f>Table_1[[#This Row],[Thành phần 2]]+Table_1[[#This Row],[Điểm dư từ TP1 ]]/3</f>
        <v>8.2349999999999994</v>
      </c>
    </row>
    <row r="61" spans="1:17" ht="14.25" customHeight="1">
      <c r="A61" s="28" t="s">
        <v>45</v>
      </c>
      <c r="B61" s="28" t="s">
        <v>164</v>
      </c>
      <c r="C61" s="28" t="s">
        <v>165</v>
      </c>
      <c r="D61" s="28" t="s">
        <v>166</v>
      </c>
      <c r="E61" s="28">
        <v>0</v>
      </c>
      <c r="F61" s="23">
        <v>0</v>
      </c>
      <c r="G61" s="23">
        <v>0</v>
      </c>
      <c r="H61" s="23">
        <v>0</v>
      </c>
      <c r="I61" s="23"/>
      <c r="J61" s="25">
        <f>SUM(Table_1[[#This Row],[Điểm danh 1]:[Điểm cộng]])/4</f>
        <v>0</v>
      </c>
      <c r="K61" s="25">
        <f>IF(Table_1[[#This Row],[Thành phần 1]]&gt;10,10,Table_1[[#This Row],[Thành phần 1]])</f>
        <v>0</v>
      </c>
      <c r="L61" s="23">
        <v>0</v>
      </c>
      <c r="M61" s="23">
        <v>0</v>
      </c>
      <c r="N61" s="23"/>
      <c r="O61" s="26">
        <f>Table_1[[#This Row],[Biểu đồ nâng cao (15% TP2)]]*0.15+Table_1[[#This Row],[Tư duy phân tích và xây dựng dashboard (15% TP2)]]*0.15+Table_1[[#This Row],[Thi giữa kỳ (70% TP2)]]*0.7</f>
        <v>0</v>
      </c>
      <c r="P61" s="36">
        <f>Table_1[[#This Row],[Thành phần 1]]-Table_1[[#This Row],[Thành phần 1 chính thức (nếu Thành phần 1 &gt; 10 thì lấy 10)]]</f>
        <v>0</v>
      </c>
      <c r="Q61" s="36">
        <f>Table_1[[#This Row],[Thành phần 2]]+Table_1[[#This Row],[Điểm dư từ TP1 ]]/3</f>
        <v>0</v>
      </c>
    </row>
    <row r="62" spans="1:17" ht="14.25" customHeight="1">
      <c r="A62" s="23" t="s">
        <v>167</v>
      </c>
      <c r="B62" s="23" t="s">
        <v>168</v>
      </c>
      <c r="C62" s="23" t="s">
        <v>169</v>
      </c>
      <c r="D62" s="23" t="s">
        <v>170</v>
      </c>
      <c r="E62" s="23">
        <v>0</v>
      </c>
      <c r="F62" s="23">
        <v>7.5</v>
      </c>
      <c r="G62" s="23">
        <v>0</v>
      </c>
      <c r="H62" s="24">
        <v>6</v>
      </c>
      <c r="I62" s="23"/>
      <c r="J62" s="25">
        <f>SUM(Table_1[[#This Row],[Điểm danh 1]:[Điểm cộng]])/4</f>
        <v>3.375</v>
      </c>
      <c r="K62" s="25">
        <f>IF(Table_1[[#This Row],[Thành phần 1]]&gt;10,10,Table_1[[#This Row],[Thành phần 1]])</f>
        <v>3.375</v>
      </c>
      <c r="L62" s="23">
        <v>8.3000000000000007</v>
      </c>
      <c r="M62" s="23">
        <v>8.1</v>
      </c>
      <c r="N62" s="23">
        <v>8</v>
      </c>
      <c r="O62" s="26">
        <f>Table_1[[#This Row],[Biểu đồ nâng cao (15% TP2)]]*0.15+Table_1[[#This Row],[Tư duy phân tích và xây dựng dashboard (15% TP2)]]*0.15+Table_1[[#This Row],[Thi giữa kỳ (70% TP2)]]*0.7</f>
        <v>8.0599999999999987</v>
      </c>
      <c r="P62" s="36">
        <f>Table_1[[#This Row],[Thành phần 1]]-Table_1[[#This Row],[Thành phần 1 chính thức (nếu Thành phần 1 &gt; 10 thì lấy 10)]]</f>
        <v>0</v>
      </c>
      <c r="Q62" s="36">
        <f>Table_1[[#This Row],[Thành phần 2]]+Table_1[[#This Row],[Điểm dư từ TP1 ]]/3</f>
        <v>8.0599999999999987</v>
      </c>
    </row>
    <row r="63" spans="1:17" ht="14.25" customHeight="1"/>
    <row r="64" spans="1: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0" type="noConversion"/>
  <pageMargins left="0.75" right="0.75" top="0.75" bottom="0.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60"/>
  <sheetViews>
    <sheetView workbookViewId="0"/>
  </sheetViews>
  <sheetFormatPr defaultColWidth="14.453125" defaultRowHeight="15" customHeight="1"/>
  <cols>
    <col min="2" max="2" width="23.08984375" customWidth="1"/>
    <col min="4" max="4" width="21.7265625" customWidth="1"/>
    <col min="7" max="7" width="60.81640625" customWidth="1"/>
  </cols>
  <sheetData>
    <row r="1" spans="1:7" ht="14.5">
      <c r="A1" s="3" t="s">
        <v>171</v>
      </c>
      <c r="B1" s="3" t="s">
        <v>172</v>
      </c>
      <c r="C1" s="3" t="s">
        <v>173</v>
      </c>
      <c r="D1" s="3" t="s">
        <v>174</v>
      </c>
      <c r="E1" s="3" t="s">
        <v>175</v>
      </c>
      <c r="F1" s="3" t="s">
        <v>176</v>
      </c>
    </row>
    <row r="2" spans="1:7" ht="14.5">
      <c r="A2" s="51">
        <v>1</v>
      </c>
      <c r="B2" s="4" t="s">
        <v>177</v>
      </c>
      <c r="C2" s="4" t="s">
        <v>45</v>
      </c>
      <c r="D2" s="50" t="s">
        <v>178</v>
      </c>
      <c r="E2" s="48" t="s">
        <v>179</v>
      </c>
      <c r="F2" s="5"/>
      <c r="G2" s="37" t="s">
        <v>180</v>
      </c>
    </row>
    <row r="3" spans="1:7" ht="14.5">
      <c r="A3" s="38"/>
      <c r="B3" s="4" t="s">
        <v>181</v>
      </c>
      <c r="C3" s="4" t="s">
        <v>45</v>
      </c>
      <c r="D3" s="38"/>
      <c r="E3" s="38"/>
      <c r="F3" s="5"/>
      <c r="G3" s="38"/>
    </row>
    <row r="4" spans="1:7" ht="14.5">
      <c r="A4" s="38"/>
      <c r="B4" s="4" t="s">
        <v>182</v>
      </c>
      <c r="C4" s="4" t="s">
        <v>45</v>
      </c>
      <c r="D4" s="38"/>
      <c r="E4" s="38"/>
      <c r="F4" s="6" t="b">
        <v>1</v>
      </c>
      <c r="G4" s="38"/>
    </row>
    <row r="5" spans="1:7" ht="14.5">
      <c r="A5" s="38"/>
      <c r="B5" s="4" t="s">
        <v>183</v>
      </c>
      <c r="C5" s="4" t="s">
        <v>45</v>
      </c>
      <c r="D5" s="38"/>
      <c r="E5" s="38"/>
      <c r="F5" s="5"/>
      <c r="G5" s="38"/>
    </row>
    <row r="6" spans="1:7" ht="14.5">
      <c r="A6" s="38"/>
      <c r="B6" s="4" t="s">
        <v>184</v>
      </c>
      <c r="C6" s="4" t="s">
        <v>45</v>
      </c>
      <c r="D6" s="38"/>
      <c r="E6" s="38"/>
      <c r="F6" s="5"/>
      <c r="G6" s="38"/>
    </row>
    <row r="7" spans="1:7" ht="14.5">
      <c r="A7" s="39"/>
      <c r="B7" s="4" t="s">
        <v>185</v>
      </c>
      <c r="C7" s="4" t="s">
        <v>26</v>
      </c>
      <c r="D7" s="39"/>
      <c r="E7" s="39"/>
      <c r="F7" s="5"/>
      <c r="G7" s="39"/>
    </row>
    <row r="8" spans="1:7" ht="14.5">
      <c r="A8" s="51">
        <v>2</v>
      </c>
      <c r="B8" s="4" t="s">
        <v>186</v>
      </c>
      <c r="C8" s="4" t="s">
        <v>45</v>
      </c>
      <c r="D8" s="50" t="s">
        <v>187</v>
      </c>
      <c r="E8" s="48" t="s">
        <v>179</v>
      </c>
      <c r="F8" s="7"/>
      <c r="G8" s="40"/>
    </row>
    <row r="9" spans="1:7" ht="14.5">
      <c r="A9" s="38"/>
      <c r="B9" s="4" t="s">
        <v>188</v>
      </c>
      <c r="C9" s="4" t="s">
        <v>45</v>
      </c>
      <c r="D9" s="38"/>
      <c r="E9" s="38"/>
      <c r="F9" s="5"/>
      <c r="G9" s="38"/>
    </row>
    <row r="10" spans="1:7" ht="14.5">
      <c r="A10" s="38"/>
      <c r="B10" s="4" t="s">
        <v>189</v>
      </c>
      <c r="C10" s="4" t="s">
        <v>45</v>
      </c>
      <c r="D10" s="38"/>
      <c r="E10" s="38"/>
      <c r="F10" s="6" t="b">
        <v>1</v>
      </c>
      <c r="G10" s="38"/>
    </row>
    <row r="11" spans="1:7" ht="14.5">
      <c r="A11" s="38"/>
      <c r="B11" s="4" t="s">
        <v>190</v>
      </c>
      <c r="C11" s="4" t="s">
        <v>45</v>
      </c>
      <c r="D11" s="38"/>
      <c r="E11" s="38"/>
      <c r="F11" s="5"/>
      <c r="G11" s="38"/>
    </row>
    <row r="12" spans="1:7" ht="14.5">
      <c r="A12" s="39"/>
      <c r="B12" s="4" t="s">
        <v>191</v>
      </c>
      <c r="C12" s="4" t="s">
        <v>45</v>
      </c>
      <c r="D12" s="39"/>
      <c r="E12" s="39"/>
      <c r="F12" s="5"/>
      <c r="G12" s="39"/>
    </row>
    <row r="13" spans="1:7" ht="14.5">
      <c r="A13" s="51">
        <v>3</v>
      </c>
      <c r="B13" s="4" t="s">
        <v>192</v>
      </c>
      <c r="C13" s="4" t="s">
        <v>45</v>
      </c>
      <c r="D13" s="50" t="s">
        <v>193</v>
      </c>
      <c r="E13" s="48" t="s">
        <v>179</v>
      </c>
      <c r="F13" s="6" t="b">
        <v>1</v>
      </c>
      <c r="G13" s="37" t="s">
        <v>194</v>
      </c>
    </row>
    <row r="14" spans="1:7" ht="14.5">
      <c r="A14" s="38"/>
      <c r="B14" s="4" t="s">
        <v>195</v>
      </c>
      <c r="C14" s="4" t="s">
        <v>45</v>
      </c>
      <c r="D14" s="38"/>
      <c r="E14" s="38"/>
      <c r="F14" s="5"/>
      <c r="G14" s="38"/>
    </row>
    <row r="15" spans="1:7" ht="14.5">
      <c r="A15" s="38"/>
      <c r="B15" s="4" t="s">
        <v>196</v>
      </c>
      <c r="C15" s="4" t="s">
        <v>45</v>
      </c>
      <c r="D15" s="38"/>
      <c r="E15" s="38"/>
      <c r="F15" s="5"/>
      <c r="G15" s="38"/>
    </row>
    <row r="16" spans="1:7" ht="14.5">
      <c r="A16" s="38"/>
      <c r="B16" s="4" t="s">
        <v>197</v>
      </c>
      <c r="C16" s="4" t="s">
        <v>45</v>
      </c>
      <c r="D16" s="38"/>
      <c r="E16" s="38"/>
      <c r="F16" s="5"/>
      <c r="G16" s="38"/>
    </row>
    <row r="17" spans="1:7" ht="14.5">
      <c r="A17" s="38"/>
      <c r="B17" s="4" t="s">
        <v>198</v>
      </c>
      <c r="C17" s="4" t="s">
        <v>45</v>
      </c>
      <c r="D17" s="38"/>
      <c r="E17" s="38"/>
      <c r="F17" s="5"/>
      <c r="G17" s="38"/>
    </row>
    <row r="18" spans="1:7" ht="14.5">
      <c r="A18" s="39"/>
      <c r="B18" s="4" t="s">
        <v>199</v>
      </c>
      <c r="C18" s="4" t="s">
        <v>45</v>
      </c>
      <c r="D18" s="39"/>
      <c r="E18" s="39"/>
      <c r="F18" s="5"/>
      <c r="G18" s="39"/>
    </row>
    <row r="19" spans="1:7" ht="14.5">
      <c r="A19" s="47">
        <v>4</v>
      </c>
      <c r="B19" s="8" t="s">
        <v>200</v>
      </c>
      <c r="C19" s="8" t="s">
        <v>0</v>
      </c>
      <c r="D19" s="49" t="s">
        <v>201</v>
      </c>
      <c r="E19" s="54" t="s">
        <v>179</v>
      </c>
      <c r="F19" s="9"/>
      <c r="G19" s="40"/>
    </row>
    <row r="20" spans="1:7" ht="14.5">
      <c r="A20" s="38"/>
      <c r="B20" s="10" t="s">
        <v>202</v>
      </c>
      <c r="C20" s="10" t="s">
        <v>19</v>
      </c>
      <c r="D20" s="45"/>
      <c r="E20" s="38"/>
      <c r="F20" s="9"/>
      <c r="G20" s="38"/>
    </row>
    <row r="21" spans="1:7" ht="14.5">
      <c r="A21" s="38"/>
      <c r="B21" s="10" t="s">
        <v>203</v>
      </c>
      <c r="C21" s="10" t="s">
        <v>19</v>
      </c>
      <c r="D21" s="45"/>
      <c r="E21" s="38"/>
      <c r="F21" s="6" t="b">
        <v>1</v>
      </c>
      <c r="G21" s="38"/>
    </row>
    <row r="22" spans="1:7" ht="14.5">
      <c r="A22" s="38"/>
      <c r="B22" s="10" t="s">
        <v>204</v>
      </c>
      <c r="C22" s="10" t="s">
        <v>42</v>
      </c>
      <c r="D22" s="45"/>
      <c r="E22" s="38"/>
      <c r="F22" s="5"/>
      <c r="G22" s="38"/>
    </row>
    <row r="23" spans="1:7" ht="14.5">
      <c r="A23" s="39"/>
      <c r="B23" s="10" t="s">
        <v>205</v>
      </c>
      <c r="C23" s="8" t="s">
        <v>45</v>
      </c>
      <c r="D23" s="46"/>
      <c r="E23" s="39"/>
      <c r="F23" s="9"/>
      <c r="G23" s="39"/>
    </row>
    <row r="24" spans="1:7" ht="14.5">
      <c r="A24" s="51">
        <v>5</v>
      </c>
      <c r="B24" s="4" t="s">
        <v>206</v>
      </c>
      <c r="C24" s="50" t="s">
        <v>45</v>
      </c>
      <c r="D24" s="52" t="s">
        <v>207</v>
      </c>
      <c r="E24" s="53" t="s">
        <v>179</v>
      </c>
      <c r="F24" s="5"/>
      <c r="G24" s="40"/>
    </row>
    <row r="25" spans="1:7" ht="14.5">
      <c r="A25" s="38"/>
      <c r="B25" s="4" t="s">
        <v>208</v>
      </c>
      <c r="C25" s="38"/>
      <c r="D25" s="45"/>
      <c r="E25" s="45"/>
      <c r="F25" s="3" t="s">
        <v>209</v>
      </c>
      <c r="G25" s="38"/>
    </row>
    <row r="26" spans="1:7" ht="14.5">
      <c r="A26" s="38"/>
      <c r="B26" s="4" t="s">
        <v>210</v>
      </c>
      <c r="C26" s="38"/>
      <c r="D26" s="45"/>
      <c r="E26" s="45"/>
      <c r="F26" s="5"/>
      <c r="G26" s="38"/>
    </row>
    <row r="27" spans="1:7" ht="14.5">
      <c r="A27" s="38"/>
      <c r="B27" s="4" t="s">
        <v>211</v>
      </c>
      <c r="C27" s="38"/>
      <c r="D27" s="45"/>
      <c r="E27" s="45"/>
      <c r="F27" s="11"/>
      <c r="G27" s="38"/>
    </row>
    <row r="28" spans="1:7" ht="14.5">
      <c r="A28" s="39"/>
      <c r="B28" s="4" t="s">
        <v>212</v>
      </c>
      <c r="C28" s="39"/>
      <c r="D28" s="46"/>
      <c r="E28" s="46"/>
      <c r="F28" s="11"/>
      <c r="G28" s="39"/>
    </row>
    <row r="29" spans="1:7" ht="56.25" customHeight="1">
      <c r="A29" s="51">
        <v>6</v>
      </c>
      <c r="B29" s="4" t="s">
        <v>213</v>
      </c>
      <c r="C29" s="50" t="s">
        <v>45</v>
      </c>
      <c r="D29" s="50" t="s">
        <v>214</v>
      </c>
      <c r="E29" s="48" t="s">
        <v>179</v>
      </c>
      <c r="F29" s="5"/>
      <c r="G29" s="41" t="s">
        <v>215</v>
      </c>
    </row>
    <row r="30" spans="1:7" ht="54.75" customHeight="1">
      <c r="A30" s="38"/>
      <c r="B30" s="12" t="s">
        <v>216</v>
      </c>
      <c r="C30" s="38"/>
      <c r="D30" s="38"/>
      <c r="E30" s="38"/>
      <c r="F30" s="5"/>
      <c r="G30" s="38"/>
    </row>
    <row r="31" spans="1:7" ht="26.25" customHeight="1">
      <c r="A31" s="38"/>
      <c r="B31" s="4" t="s">
        <v>217</v>
      </c>
      <c r="C31" s="38"/>
      <c r="D31" s="38"/>
      <c r="E31" s="38"/>
      <c r="F31" s="6" t="b">
        <v>1</v>
      </c>
      <c r="G31" s="38"/>
    </row>
    <row r="32" spans="1:7" ht="33.75" customHeight="1">
      <c r="A32" s="38"/>
      <c r="B32" s="4" t="s">
        <v>218</v>
      </c>
      <c r="C32" s="38"/>
      <c r="D32" s="38"/>
      <c r="E32" s="38"/>
      <c r="F32" s="5"/>
      <c r="G32" s="38"/>
    </row>
    <row r="33" spans="1:7" ht="37.5" customHeight="1">
      <c r="A33" s="39"/>
      <c r="B33" s="4" t="s">
        <v>219</v>
      </c>
      <c r="C33" s="39"/>
      <c r="D33" s="39"/>
      <c r="E33" s="39"/>
      <c r="F33" s="5"/>
      <c r="G33" s="39"/>
    </row>
    <row r="34" spans="1:7" ht="14.5">
      <c r="A34" s="51">
        <v>7</v>
      </c>
      <c r="B34" s="4" t="s">
        <v>220</v>
      </c>
      <c r="C34" s="50" t="s">
        <v>45</v>
      </c>
      <c r="D34" s="50" t="s">
        <v>221</v>
      </c>
      <c r="E34" s="42" t="s">
        <v>179</v>
      </c>
      <c r="F34" s="5"/>
      <c r="G34" s="37" t="s">
        <v>222</v>
      </c>
    </row>
    <row r="35" spans="1:7" ht="14.5">
      <c r="A35" s="38"/>
      <c r="B35" s="4" t="s">
        <v>223</v>
      </c>
      <c r="C35" s="38"/>
      <c r="D35" s="38"/>
      <c r="E35" s="38"/>
      <c r="F35" s="5"/>
      <c r="G35" s="38"/>
    </row>
    <row r="36" spans="1:7" ht="14.5">
      <c r="A36" s="38"/>
      <c r="B36" s="4" t="s">
        <v>224</v>
      </c>
      <c r="C36" s="38"/>
      <c r="D36" s="38"/>
      <c r="E36" s="38"/>
      <c r="F36" s="6" t="b">
        <v>1</v>
      </c>
      <c r="G36" s="38"/>
    </row>
    <row r="37" spans="1:7" ht="14.5">
      <c r="A37" s="38"/>
      <c r="B37" s="4" t="s">
        <v>225</v>
      </c>
      <c r="C37" s="38"/>
      <c r="D37" s="38"/>
      <c r="E37" s="38"/>
      <c r="F37" s="5"/>
      <c r="G37" s="38"/>
    </row>
    <row r="38" spans="1:7" ht="33" customHeight="1">
      <c r="A38" s="39"/>
      <c r="B38" s="4" t="s">
        <v>226</v>
      </c>
      <c r="C38" s="39"/>
      <c r="D38" s="39"/>
      <c r="E38" s="39"/>
      <c r="F38" s="5"/>
      <c r="G38" s="39"/>
    </row>
    <row r="39" spans="1:7" ht="14.5">
      <c r="A39" s="47">
        <v>8</v>
      </c>
      <c r="B39" s="10" t="s">
        <v>227</v>
      </c>
      <c r="C39" s="10" t="s">
        <v>4</v>
      </c>
      <c r="D39" s="43" t="s">
        <v>228</v>
      </c>
      <c r="E39" s="44" t="s">
        <v>179</v>
      </c>
      <c r="F39" s="13"/>
      <c r="G39" s="40"/>
    </row>
    <row r="40" spans="1:7" ht="14.5">
      <c r="A40" s="38"/>
      <c r="B40" s="10" t="s">
        <v>229</v>
      </c>
      <c r="C40" s="10" t="s">
        <v>4</v>
      </c>
      <c r="D40" s="38"/>
      <c r="E40" s="45"/>
      <c r="F40" s="14" t="s">
        <v>209</v>
      </c>
      <c r="G40" s="38"/>
    </row>
    <row r="41" spans="1:7" ht="14.5">
      <c r="A41" s="38"/>
      <c r="B41" s="10" t="s">
        <v>230</v>
      </c>
      <c r="C41" s="10" t="s">
        <v>4</v>
      </c>
      <c r="D41" s="38"/>
      <c r="E41" s="45"/>
      <c r="F41" s="15"/>
      <c r="G41" s="38"/>
    </row>
    <row r="42" spans="1:7" ht="14.5">
      <c r="A42" s="38"/>
      <c r="B42" s="10" t="s">
        <v>231</v>
      </c>
      <c r="C42" s="10" t="s">
        <v>4</v>
      </c>
      <c r="D42" s="38"/>
      <c r="E42" s="45"/>
      <c r="F42" s="15"/>
      <c r="G42" s="38"/>
    </row>
    <row r="43" spans="1:7" ht="14.5">
      <c r="A43" s="39"/>
      <c r="B43" s="10" t="s">
        <v>232</v>
      </c>
      <c r="C43" s="10" t="s">
        <v>45</v>
      </c>
      <c r="D43" s="39"/>
      <c r="E43" s="46"/>
      <c r="F43" s="16"/>
      <c r="G43" s="39"/>
    </row>
    <row r="44" spans="1:7" ht="14.5">
      <c r="A44" s="51">
        <v>9</v>
      </c>
      <c r="B44" s="4" t="s">
        <v>233</v>
      </c>
      <c r="C44" s="4" t="s">
        <v>45</v>
      </c>
      <c r="D44" s="50" t="s">
        <v>234</v>
      </c>
      <c r="E44" s="48" t="s">
        <v>179</v>
      </c>
      <c r="F44" s="5"/>
      <c r="G44" s="41" t="s">
        <v>235</v>
      </c>
    </row>
    <row r="45" spans="1:7" ht="14.5">
      <c r="A45" s="38"/>
      <c r="B45" s="4" t="s">
        <v>236</v>
      </c>
      <c r="C45" s="4" t="s">
        <v>45</v>
      </c>
      <c r="D45" s="38"/>
      <c r="E45" s="38"/>
      <c r="F45" s="5"/>
      <c r="G45" s="38"/>
    </row>
    <row r="46" spans="1:7" ht="14.5">
      <c r="A46" s="38"/>
      <c r="B46" s="4" t="s">
        <v>237</v>
      </c>
      <c r="C46" s="4" t="s">
        <v>45</v>
      </c>
      <c r="D46" s="38"/>
      <c r="E46" s="38"/>
      <c r="F46" s="5"/>
      <c r="G46" s="38"/>
    </row>
    <row r="47" spans="1:7" ht="14.5">
      <c r="A47" s="38"/>
      <c r="B47" s="4" t="s">
        <v>238</v>
      </c>
      <c r="C47" s="4" t="s">
        <v>45</v>
      </c>
      <c r="D47" s="38"/>
      <c r="E47" s="38"/>
      <c r="F47" s="6" t="s">
        <v>209</v>
      </c>
      <c r="G47" s="38"/>
    </row>
    <row r="48" spans="1:7" ht="14.5">
      <c r="A48" s="38"/>
      <c r="B48" s="4" t="s">
        <v>239</v>
      </c>
      <c r="C48" s="4" t="s">
        <v>45</v>
      </c>
      <c r="D48" s="38"/>
      <c r="E48" s="38"/>
      <c r="F48" s="5"/>
      <c r="G48" s="38"/>
    </row>
    <row r="49" spans="1:7" ht="14.5">
      <c r="A49" s="39"/>
      <c r="B49" s="4" t="s">
        <v>240</v>
      </c>
      <c r="C49" s="4" t="s">
        <v>45</v>
      </c>
      <c r="D49" s="39"/>
      <c r="E49" s="39"/>
      <c r="F49" s="5"/>
      <c r="G49" s="39"/>
    </row>
    <row r="50" spans="1:7" ht="14.5">
      <c r="A50" s="47">
        <v>10</v>
      </c>
      <c r="B50" s="10" t="s">
        <v>241</v>
      </c>
      <c r="C50" s="10" t="s">
        <v>26</v>
      </c>
      <c r="D50" s="49" t="s">
        <v>242</v>
      </c>
      <c r="E50" s="44" t="s">
        <v>179</v>
      </c>
      <c r="F50" s="9"/>
      <c r="G50" s="40"/>
    </row>
    <row r="51" spans="1:7" ht="14.5">
      <c r="A51" s="38"/>
      <c r="B51" s="10" t="s">
        <v>243</v>
      </c>
      <c r="C51" s="10" t="s">
        <v>26</v>
      </c>
      <c r="D51" s="45"/>
      <c r="E51" s="45"/>
      <c r="F51" s="17" t="b">
        <v>1</v>
      </c>
      <c r="G51" s="38"/>
    </row>
    <row r="52" spans="1:7" ht="14.5">
      <c r="A52" s="38"/>
      <c r="B52" s="10" t="s">
        <v>244</v>
      </c>
      <c r="C52" s="10" t="s">
        <v>26</v>
      </c>
      <c r="D52" s="45"/>
      <c r="E52" s="45"/>
      <c r="F52" s="9"/>
      <c r="G52" s="38"/>
    </row>
    <row r="53" spans="1:7" ht="14.5">
      <c r="A53" s="38"/>
      <c r="B53" s="10" t="s">
        <v>245</v>
      </c>
      <c r="C53" s="10" t="s">
        <v>26</v>
      </c>
      <c r="D53" s="45"/>
      <c r="E53" s="45"/>
      <c r="F53" s="9"/>
      <c r="G53" s="38"/>
    </row>
    <row r="54" spans="1:7" ht="14.5">
      <c r="A54" s="39"/>
      <c r="B54" s="10" t="s">
        <v>246</v>
      </c>
      <c r="C54" s="10" t="s">
        <v>167</v>
      </c>
      <c r="D54" s="46"/>
      <c r="E54" s="46"/>
      <c r="F54" s="9"/>
      <c r="G54" s="39"/>
    </row>
    <row r="55" spans="1:7" ht="14.5">
      <c r="A55" s="51">
        <v>11</v>
      </c>
      <c r="B55" s="18" t="s">
        <v>247</v>
      </c>
      <c r="C55" s="18" t="s">
        <v>248</v>
      </c>
      <c r="D55" s="50" t="s">
        <v>249</v>
      </c>
      <c r="E55" s="48" t="s">
        <v>179</v>
      </c>
      <c r="F55" s="5"/>
      <c r="G55" s="37" t="s">
        <v>250</v>
      </c>
    </row>
    <row r="56" spans="1:7" ht="14.5">
      <c r="A56" s="38"/>
      <c r="B56" s="18" t="s">
        <v>251</v>
      </c>
      <c r="C56" s="18" t="s">
        <v>248</v>
      </c>
      <c r="D56" s="38"/>
      <c r="E56" s="38"/>
      <c r="F56" s="5"/>
      <c r="G56" s="38"/>
    </row>
    <row r="57" spans="1:7" ht="14.5">
      <c r="A57" s="38"/>
      <c r="B57" s="18" t="s">
        <v>252</v>
      </c>
      <c r="C57" s="18" t="s">
        <v>248</v>
      </c>
      <c r="D57" s="38"/>
      <c r="E57" s="38"/>
      <c r="F57" s="5"/>
      <c r="G57" s="38"/>
    </row>
    <row r="58" spans="1:7" ht="14.5">
      <c r="A58" s="38"/>
      <c r="B58" s="18" t="s">
        <v>253</v>
      </c>
      <c r="C58" s="18" t="s">
        <v>248</v>
      </c>
      <c r="D58" s="38"/>
      <c r="E58" s="38"/>
      <c r="F58" s="5"/>
      <c r="G58" s="38"/>
    </row>
    <row r="59" spans="1:7" ht="14.5">
      <c r="A59" s="38"/>
      <c r="B59" s="19" t="s">
        <v>254</v>
      </c>
      <c r="C59" s="18" t="s">
        <v>248</v>
      </c>
      <c r="D59" s="38"/>
      <c r="E59" s="38"/>
      <c r="F59" s="17" t="b">
        <v>1</v>
      </c>
      <c r="G59" s="38"/>
    </row>
    <row r="60" spans="1:7" ht="14.5">
      <c r="A60" s="39"/>
      <c r="B60" s="10" t="s">
        <v>255</v>
      </c>
      <c r="C60" s="10" t="s">
        <v>45</v>
      </c>
      <c r="D60" s="39"/>
      <c r="E60" s="39"/>
      <c r="F60" s="5"/>
      <c r="G60" s="39"/>
    </row>
  </sheetData>
  <mergeCells count="47">
    <mergeCell ref="A2:A7"/>
    <mergeCell ref="D2:D7"/>
    <mergeCell ref="E2:E7"/>
    <mergeCell ref="G2:G7"/>
    <mergeCell ref="D8:D12"/>
    <mergeCell ref="E8:E12"/>
    <mergeCell ref="G8:G12"/>
    <mergeCell ref="A8:A12"/>
    <mergeCell ref="A13:A18"/>
    <mergeCell ref="D13:D18"/>
    <mergeCell ref="E13:E18"/>
    <mergeCell ref="A19:A23"/>
    <mergeCell ref="D19:D23"/>
    <mergeCell ref="E19:E23"/>
    <mergeCell ref="E24:E28"/>
    <mergeCell ref="C29:C33"/>
    <mergeCell ref="D29:D33"/>
    <mergeCell ref="E29:E33"/>
    <mergeCell ref="A29:A33"/>
    <mergeCell ref="A24:A28"/>
    <mergeCell ref="C24:C28"/>
    <mergeCell ref="D24:D28"/>
    <mergeCell ref="A34:A38"/>
    <mergeCell ref="C34:C38"/>
    <mergeCell ref="D34:D38"/>
    <mergeCell ref="D55:D60"/>
    <mergeCell ref="E55:E60"/>
    <mergeCell ref="A44:A49"/>
    <mergeCell ref="A50:A54"/>
    <mergeCell ref="A55:A60"/>
    <mergeCell ref="D44:D49"/>
    <mergeCell ref="E34:E38"/>
    <mergeCell ref="D39:D43"/>
    <mergeCell ref="E39:E43"/>
    <mergeCell ref="A39:A43"/>
    <mergeCell ref="G50:G54"/>
    <mergeCell ref="E44:E49"/>
    <mergeCell ref="D50:D54"/>
    <mergeCell ref="E50:E54"/>
    <mergeCell ref="G55:G60"/>
    <mergeCell ref="G13:G18"/>
    <mergeCell ref="G19:G23"/>
    <mergeCell ref="G24:G28"/>
    <mergeCell ref="G29:G33"/>
    <mergeCell ref="G34:G38"/>
    <mergeCell ref="G39:G43"/>
    <mergeCell ref="G44:G49"/>
  </mergeCells>
  <hyperlinks>
    <hyperlink ref="E2" r:id="rId1" xr:uid="{00000000-0004-0000-0100-000000000000}"/>
    <hyperlink ref="E8" r:id="rId2" xr:uid="{00000000-0004-0000-0100-000001000000}"/>
    <hyperlink ref="E13" r:id="rId3" xr:uid="{00000000-0004-0000-0100-000002000000}"/>
    <hyperlink ref="E19" r:id="rId4" xr:uid="{00000000-0004-0000-0100-000003000000}"/>
    <hyperlink ref="E24" r:id="rId5" xr:uid="{00000000-0004-0000-0100-000004000000}"/>
    <hyperlink ref="E29" r:id="rId6" xr:uid="{00000000-0004-0000-0100-000005000000}"/>
    <hyperlink ref="E34" r:id="rId7" xr:uid="{00000000-0004-0000-0100-000006000000}"/>
    <hyperlink ref="E39" r:id="rId8" xr:uid="{00000000-0004-0000-0100-000007000000}"/>
    <hyperlink ref="E44" r:id="rId9" xr:uid="{00000000-0004-0000-0100-000008000000}"/>
    <hyperlink ref="E50" r:id="rId10" xr:uid="{00000000-0004-0000-0100-000009000000}"/>
    <hyperlink ref="E55" r:id="rId11" xr:uid="{00000000-0004-0000-0100-00000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60"/>
  <sheetViews>
    <sheetView workbookViewId="0"/>
  </sheetViews>
  <sheetFormatPr defaultColWidth="14.453125" defaultRowHeight="15" customHeight="1"/>
  <cols>
    <col min="2" max="2" width="28" customWidth="1"/>
    <col min="4" max="4" width="31.7265625" customWidth="1"/>
    <col min="5" max="5" width="16.7265625" customWidth="1"/>
    <col min="6" max="6" width="43.7265625" customWidth="1"/>
  </cols>
  <sheetData>
    <row r="1" spans="1:6">
      <c r="A1" s="3" t="s">
        <v>256</v>
      </c>
      <c r="B1" s="3" t="s">
        <v>172</v>
      </c>
      <c r="C1" s="3" t="s">
        <v>173</v>
      </c>
      <c r="D1" s="3" t="s">
        <v>174</v>
      </c>
      <c r="E1" s="3" t="s">
        <v>176</v>
      </c>
      <c r="F1" s="3" t="s">
        <v>257</v>
      </c>
    </row>
    <row r="2" spans="1:6">
      <c r="A2" s="51">
        <v>1</v>
      </c>
      <c r="B2" s="4" t="s">
        <v>177</v>
      </c>
      <c r="C2" s="4" t="s">
        <v>45</v>
      </c>
      <c r="D2" s="55" t="s">
        <v>258</v>
      </c>
      <c r="E2" s="5"/>
      <c r="F2" s="40" t="s">
        <v>259</v>
      </c>
    </row>
    <row r="3" spans="1:6">
      <c r="A3" s="38"/>
      <c r="B3" s="4" t="s">
        <v>181</v>
      </c>
      <c r="C3" s="4" t="s">
        <v>45</v>
      </c>
      <c r="D3" s="38"/>
      <c r="E3" s="5"/>
      <c r="F3" s="38"/>
    </row>
    <row r="4" spans="1:6">
      <c r="A4" s="38"/>
      <c r="B4" s="4" t="s">
        <v>182</v>
      </c>
      <c r="C4" s="4" t="s">
        <v>45</v>
      </c>
      <c r="D4" s="38"/>
      <c r="E4" s="6" t="b">
        <v>1</v>
      </c>
      <c r="F4" s="38"/>
    </row>
    <row r="5" spans="1:6">
      <c r="A5" s="38"/>
      <c r="B5" s="4" t="s">
        <v>183</v>
      </c>
      <c r="C5" s="4" t="s">
        <v>45</v>
      </c>
      <c r="D5" s="38"/>
      <c r="E5" s="5"/>
      <c r="F5" s="38"/>
    </row>
    <row r="6" spans="1:6">
      <c r="A6" s="38"/>
      <c r="B6" s="4" t="s">
        <v>184</v>
      </c>
      <c r="C6" s="4" t="s">
        <v>45</v>
      </c>
      <c r="D6" s="38"/>
      <c r="E6" s="5"/>
      <c r="F6" s="38"/>
    </row>
    <row r="7" spans="1:6">
      <c r="A7" s="39"/>
      <c r="B7" s="4" t="s">
        <v>185</v>
      </c>
      <c r="C7" s="4" t="s">
        <v>26</v>
      </c>
      <c r="D7" s="39"/>
      <c r="E7" s="5"/>
      <c r="F7" s="39"/>
    </row>
    <row r="8" spans="1:6">
      <c r="A8" s="51">
        <v>2</v>
      </c>
      <c r="B8" s="4" t="s">
        <v>186</v>
      </c>
      <c r="C8" s="4" t="s">
        <v>45</v>
      </c>
      <c r="D8" s="55" t="s">
        <v>260</v>
      </c>
      <c r="E8" s="5"/>
      <c r="F8" s="40" t="s">
        <v>261</v>
      </c>
    </row>
    <row r="9" spans="1:6">
      <c r="A9" s="38"/>
      <c r="B9" s="4" t="s">
        <v>188</v>
      </c>
      <c r="C9" s="4" t="s">
        <v>45</v>
      </c>
      <c r="D9" s="38"/>
      <c r="E9" s="5"/>
      <c r="F9" s="38"/>
    </row>
    <row r="10" spans="1:6">
      <c r="A10" s="38"/>
      <c r="B10" s="4" t="s">
        <v>189</v>
      </c>
      <c r="C10" s="4" t="s">
        <v>45</v>
      </c>
      <c r="D10" s="38"/>
      <c r="E10" s="6" t="b">
        <v>1</v>
      </c>
      <c r="F10" s="38"/>
    </row>
    <row r="11" spans="1:6">
      <c r="A11" s="38"/>
      <c r="B11" s="4" t="s">
        <v>190</v>
      </c>
      <c r="C11" s="4" t="s">
        <v>45</v>
      </c>
      <c r="D11" s="38"/>
      <c r="E11" s="5"/>
      <c r="F11" s="38"/>
    </row>
    <row r="12" spans="1:6">
      <c r="A12" s="39"/>
      <c r="B12" s="4" t="s">
        <v>191</v>
      </c>
      <c r="C12" s="4" t="s">
        <v>45</v>
      </c>
      <c r="D12" s="39"/>
      <c r="E12" s="5"/>
      <c r="F12" s="39"/>
    </row>
    <row r="13" spans="1:6">
      <c r="A13" s="51">
        <v>3</v>
      </c>
      <c r="B13" s="4" t="s">
        <v>192</v>
      </c>
      <c r="C13" s="4" t="s">
        <v>45</v>
      </c>
      <c r="D13" s="55" t="s">
        <v>262</v>
      </c>
      <c r="E13" s="6" t="b">
        <v>1</v>
      </c>
      <c r="F13" s="40" t="s">
        <v>263</v>
      </c>
    </row>
    <row r="14" spans="1:6">
      <c r="A14" s="38"/>
      <c r="B14" s="4" t="s">
        <v>195</v>
      </c>
      <c r="C14" s="4" t="s">
        <v>45</v>
      </c>
      <c r="D14" s="38"/>
      <c r="E14" s="5"/>
      <c r="F14" s="38"/>
    </row>
    <row r="15" spans="1:6">
      <c r="A15" s="38"/>
      <c r="B15" s="4" t="s">
        <v>196</v>
      </c>
      <c r="C15" s="4" t="s">
        <v>45</v>
      </c>
      <c r="D15" s="38"/>
      <c r="E15" s="5"/>
      <c r="F15" s="38"/>
    </row>
    <row r="16" spans="1:6">
      <c r="A16" s="38"/>
      <c r="B16" s="4" t="s">
        <v>197</v>
      </c>
      <c r="C16" s="4" t="s">
        <v>45</v>
      </c>
      <c r="D16" s="38"/>
      <c r="E16" s="5"/>
      <c r="F16" s="38"/>
    </row>
    <row r="17" spans="1:6">
      <c r="A17" s="38"/>
      <c r="B17" s="4" t="s">
        <v>198</v>
      </c>
      <c r="C17" s="4" t="s">
        <v>45</v>
      </c>
      <c r="D17" s="38"/>
      <c r="E17" s="5"/>
      <c r="F17" s="38"/>
    </row>
    <row r="18" spans="1:6">
      <c r="A18" s="39"/>
      <c r="B18" s="4" t="s">
        <v>199</v>
      </c>
      <c r="C18" s="4" t="s">
        <v>45</v>
      </c>
      <c r="D18" s="39"/>
      <c r="E18" s="5"/>
      <c r="F18" s="39"/>
    </row>
    <row r="19" spans="1:6">
      <c r="A19" s="47">
        <v>4</v>
      </c>
      <c r="B19" s="8" t="s">
        <v>200</v>
      </c>
      <c r="C19" s="8" t="s">
        <v>0</v>
      </c>
      <c r="D19" s="56" t="s">
        <v>264</v>
      </c>
      <c r="E19" s="9"/>
      <c r="F19" s="37" t="s">
        <v>265</v>
      </c>
    </row>
    <row r="20" spans="1:6">
      <c r="A20" s="38"/>
      <c r="B20" s="10" t="s">
        <v>202</v>
      </c>
      <c r="C20" s="10" t="s">
        <v>19</v>
      </c>
      <c r="D20" s="45"/>
      <c r="E20" s="9"/>
      <c r="F20" s="38"/>
    </row>
    <row r="21" spans="1:6">
      <c r="A21" s="38"/>
      <c r="B21" s="10" t="s">
        <v>203</v>
      </c>
      <c r="C21" s="10" t="s">
        <v>19</v>
      </c>
      <c r="D21" s="45"/>
      <c r="E21" s="6" t="b">
        <v>1</v>
      </c>
      <c r="F21" s="38"/>
    </row>
    <row r="22" spans="1:6">
      <c r="A22" s="38"/>
      <c r="B22" s="10" t="s">
        <v>204</v>
      </c>
      <c r="C22" s="10" t="s">
        <v>42</v>
      </c>
      <c r="D22" s="45"/>
      <c r="E22" s="5"/>
      <c r="F22" s="38"/>
    </row>
    <row r="23" spans="1:6">
      <c r="A23" s="39"/>
      <c r="B23" s="10" t="s">
        <v>205</v>
      </c>
      <c r="C23" s="8" t="s">
        <v>45</v>
      </c>
      <c r="D23" s="46"/>
      <c r="E23" s="9"/>
      <c r="F23" s="39"/>
    </row>
    <row r="24" spans="1:6">
      <c r="A24" s="51">
        <v>5</v>
      </c>
      <c r="B24" s="4" t="s">
        <v>206</v>
      </c>
      <c r="C24" s="50" t="s">
        <v>45</v>
      </c>
      <c r="D24" s="57" t="s">
        <v>266</v>
      </c>
      <c r="E24" s="5"/>
      <c r="F24" s="40" t="s">
        <v>267</v>
      </c>
    </row>
    <row r="25" spans="1:6">
      <c r="A25" s="38"/>
      <c r="B25" s="4" t="s">
        <v>208</v>
      </c>
      <c r="C25" s="38"/>
      <c r="D25" s="45"/>
      <c r="E25" s="3" t="s">
        <v>209</v>
      </c>
      <c r="F25" s="38"/>
    </row>
    <row r="26" spans="1:6">
      <c r="A26" s="38"/>
      <c r="B26" s="4" t="s">
        <v>210</v>
      </c>
      <c r="C26" s="38"/>
      <c r="D26" s="45"/>
      <c r="E26" s="5"/>
      <c r="F26" s="38"/>
    </row>
    <row r="27" spans="1:6">
      <c r="A27" s="38"/>
      <c r="B27" s="4" t="s">
        <v>211</v>
      </c>
      <c r="C27" s="38"/>
      <c r="D27" s="45"/>
      <c r="E27" s="11"/>
      <c r="F27" s="38"/>
    </row>
    <row r="28" spans="1:6">
      <c r="A28" s="39"/>
      <c r="B28" s="4" t="s">
        <v>212</v>
      </c>
      <c r="C28" s="39"/>
      <c r="D28" s="46"/>
      <c r="E28" s="11"/>
      <c r="F28" s="39"/>
    </row>
    <row r="29" spans="1:6">
      <c r="A29" s="51">
        <v>6</v>
      </c>
      <c r="B29" s="4" t="s">
        <v>213</v>
      </c>
      <c r="C29" s="50" t="s">
        <v>45</v>
      </c>
      <c r="D29" s="55" t="s">
        <v>268</v>
      </c>
      <c r="E29" s="5"/>
      <c r="F29" s="40" t="s">
        <v>269</v>
      </c>
    </row>
    <row r="30" spans="1:6">
      <c r="A30" s="38"/>
      <c r="B30" s="12" t="s">
        <v>216</v>
      </c>
      <c r="C30" s="38"/>
      <c r="D30" s="38"/>
      <c r="E30" s="5"/>
      <c r="F30" s="38"/>
    </row>
    <row r="31" spans="1:6">
      <c r="A31" s="38"/>
      <c r="B31" s="4" t="s">
        <v>217</v>
      </c>
      <c r="C31" s="38"/>
      <c r="D31" s="38"/>
      <c r="E31" s="6" t="b">
        <v>1</v>
      </c>
      <c r="F31" s="38"/>
    </row>
    <row r="32" spans="1:6">
      <c r="A32" s="38"/>
      <c r="B32" s="4" t="s">
        <v>218</v>
      </c>
      <c r="C32" s="38"/>
      <c r="D32" s="38"/>
      <c r="E32" s="5"/>
      <c r="F32" s="38"/>
    </row>
    <row r="33" spans="1:7">
      <c r="A33" s="39"/>
      <c r="B33" s="4" t="s">
        <v>219</v>
      </c>
      <c r="C33" s="39"/>
      <c r="D33" s="39"/>
      <c r="E33" s="5"/>
      <c r="F33" s="39"/>
    </row>
    <row r="34" spans="1:7">
      <c r="A34" s="51">
        <v>7</v>
      </c>
      <c r="B34" s="4" t="s">
        <v>220</v>
      </c>
      <c r="C34" s="50" t="s">
        <v>45</v>
      </c>
      <c r="D34" s="55" t="s">
        <v>270</v>
      </c>
      <c r="E34" s="5"/>
      <c r="F34" s="37" t="s">
        <v>271</v>
      </c>
    </row>
    <row r="35" spans="1:7">
      <c r="A35" s="38"/>
      <c r="B35" s="4" t="s">
        <v>223</v>
      </c>
      <c r="C35" s="38"/>
      <c r="D35" s="38"/>
      <c r="E35" s="5"/>
      <c r="F35" s="38"/>
      <c r="G35" s="2" t="s">
        <v>171</v>
      </c>
    </row>
    <row r="36" spans="1:7">
      <c r="A36" s="38"/>
      <c r="B36" s="4" t="s">
        <v>224</v>
      </c>
      <c r="C36" s="38"/>
      <c r="D36" s="38"/>
      <c r="E36" s="6" t="b">
        <v>1</v>
      </c>
      <c r="F36" s="38"/>
    </row>
    <row r="37" spans="1:7">
      <c r="A37" s="38"/>
      <c r="B37" s="4" t="s">
        <v>225</v>
      </c>
      <c r="C37" s="38"/>
      <c r="D37" s="38"/>
      <c r="E37" s="5"/>
      <c r="F37" s="38"/>
    </row>
    <row r="38" spans="1:7">
      <c r="A38" s="39"/>
      <c r="B38" s="4" t="s">
        <v>226</v>
      </c>
      <c r="C38" s="39"/>
      <c r="D38" s="39"/>
      <c r="E38" s="5"/>
      <c r="F38" s="39"/>
    </row>
    <row r="39" spans="1:7">
      <c r="A39" s="47">
        <v>8</v>
      </c>
      <c r="B39" s="10" t="s">
        <v>227</v>
      </c>
      <c r="C39" s="10" t="s">
        <v>4</v>
      </c>
      <c r="D39" s="58" t="s">
        <v>272</v>
      </c>
      <c r="E39" s="13"/>
      <c r="F39" s="37" t="s">
        <v>273</v>
      </c>
    </row>
    <row r="40" spans="1:7">
      <c r="A40" s="38"/>
      <c r="B40" s="10" t="s">
        <v>229</v>
      </c>
      <c r="C40" s="10" t="s">
        <v>4</v>
      </c>
      <c r="D40" s="38"/>
      <c r="E40" s="14" t="s">
        <v>209</v>
      </c>
      <c r="F40" s="38"/>
    </row>
    <row r="41" spans="1:7">
      <c r="A41" s="38"/>
      <c r="B41" s="10" t="s">
        <v>230</v>
      </c>
      <c r="C41" s="10" t="s">
        <v>4</v>
      </c>
      <c r="D41" s="38"/>
      <c r="E41" s="15"/>
      <c r="F41" s="38"/>
    </row>
    <row r="42" spans="1:7">
      <c r="A42" s="38"/>
      <c r="B42" s="10" t="s">
        <v>231</v>
      </c>
      <c r="C42" s="10" t="s">
        <v>4</v>
      </c>
      <c r="D42" s="38"/>
      <c r="E42" s="15"/>
      <c r="F42" s="38"/>
    </row>
    <row r="43" spans="1:7">
      <c r="A43" s="39"/>
      <c r="B43" s="10" t="s">
        <v>232</v>
      </c>
      <c r="C43" s="10" t="s">
        <v>45</v>
      </c>
      <c r="D43" s="39"/>
      <c r="E43" s="16"/>
      <c r="F43" s="39"/>
    </row>
    <row r="44" spans="1:7">
      <c r="A44" s="51">
        <v>9</v>
      </c>
      <c r="B44" s="4" t="s">
        <v>233</v>
      </c>
      <c r="C44" s="4" t="s">
        <v>45</v>
      </c>
      <c r="D44" s="55" t="s">
        <v>274</v>
      </c>
      <c r="E44" s="5"/>
      <c r="F44" s="37" t="s">
        <v>275</v>
      </c>
    </row>
    <row r="45" spans="1:7">
      <c r="A45" s="38"/>
      <c r="B45" s="4" t="s">
        <v>236</v>
      </c>
      <c r="C45" s="4" t="s">
        <v>45</v>
      </c>
      <c r="D45" s="38"/>
      <c r="E45" s="5"/>
      <c r="F45" s="38"/>
    </row>
    <row r="46" spans="1:7">
      <c r="A46" s="38"/>
      <c r="B46" s="4" t="s">
        <v>237</v>
      </c>
      <c r="C46" s="4" t="s">
        <v>45</v>
      </c>
      <c r="D46" s="38"/>
      <c r="E46" s="5"/>
      <c r="F46" s="38"/>
    </row>
    <row r="47" spans="1:7">
      <c r="A47" s="38"/>
      <c r="B47" s="4" t="s">
        <v>238</v>
      </c>
      <c r="C47" s="4" t="s">
        <v>45</v>
      </c>
      <c r="D47" s="38"/>
      <c r="E47" s="6" t="s">
        <v>209</v>
      </c>
      <c r="F47" s="38"/>
    </row>
    <row r="48" spans="1:7">
      <c r="A48" s="38"/>
      <c r="B48" s="4" t="s">
        <v>239</v>
      </c>
      <c r="C48" s="4" t="s">
        <v>45</v>
      </c>
      <c r="D48" s="38"/>
      <c r="E48" s="5"/>
      <c r="F48" s="38"/>
    </row>
    <row r="49" spans="1:6">
      <c r="A49" s="39"/>
      <c r="B49" s="4" t="s">
        <v>240</v>
      </c>
      <c r="C49" s="4" t="s">
        <v>45</v>
      </c>
      <c r="D49" s="39"/>
      <c r="E49" s="5"/>
      <c r="F49" s="39"/>
    </row>
    <row r="50" spans="1:6">
      <c r="A50" s="47">
        <v>10</v>
      </c>
      <c r="B50" s="10" t="s">
        <v>241</v>
      </c>
      <c r="C50" s="10" t="s">
        <v>26</v>
      </c>
      <c r="D50" s="56" t="s">
        <v>276</v>
      </c>
      <c r="E50" s="9"/>
      <c r="F50" s="37" t="s">
        <v>277</v>
      </c>
    </row>
    <row r="51" spans="1:6">
      <c r="A51" s="38"/>
      <c r="B51" s="10" t="s">
        <v>243</v>
      </c>
      <c r="C51" s="10" t="s">
        <v>26</v>
      </c>
      <c r="D51" s="45"/>
      <c r="E51" s="17" t="b">
        <v>1</v>
      </c>
      <c r="F51" s="38"/>
    </row>
    <row r="52" spans="1:6">
      <c r="A52" s="38"/>
      <c r="B52" s="10" t="s">
        <v>244</v>
      </c>
      <c r="C52" s="10" t="s">
        <v>26</v>
      </c>
      <c r="D52" s="45"/>
      <c r="E52" s="9"/>
      <c r="F52" s="38"/>
    </row>
    <row r="53" spans="1:6">
      <c r="A53" s="38"/>
      <c r="B53" s="10" t="s">
        <v>245</v>
      </c>
      <c r="C53" s="10" t="s">
        <v>26</v>
      </c>
      <c r="D53" s="45"/>
      <c r="E53" s="9"/>
      <c r="F53" s="38"/>
    </row>
    <row r="54" spans="1:6">
      <c r="A54" s="39"/>
      <c r="B54" s="10" t="s">
        <v>246</v>
      </c>
      <c r="C54" s="10" t="s">
        <v>167</v>
      </c>
      <c r="D54" s="46"/>
      <c r="E54" s="9"/>
      <c r="F54" s="39"/>
    </row>
    <row r="55" spans="1:6">
      <c r="A55" s="51">
        <v>11</v>
      </c>
      <c r="B55" s="18" t="s">
        <v>247</v>
      </c>
      <c r="C55" s="18" t="s">
        <v>248</v>
      </c>
      <c r="D55" s="55" t="s">
        <v>278</v>
      </c>
      <c r="E55" s="5"/>
      <c r="F55" s="37" t="s">
        <v>279</v>
      </c>
    </row>
    <row r="56" spans="1:6">
      <c r="A56" s="38"/>
      <c r="B56" s="18" t="s">
        <v>251</v>
      </c>
      <c r="C56" s="18" t="s">
        <v>248</v>
      </c>
      <c r="D56" s="38"/>
      <c r="E56" s="5"/>
      <c r="F56" s="38"/>
    </row>
    <row r="57" spans="1:6">
      <c r="A57" s="38"/>
      <c r="B57" s="18" t="s">
        <v>252</v>
      </c>
      <c r="C57" s="18" t="s">
        <v>248</v>
      </c>
      <c r="D57" s="38"/>
      <c r="E57" s="5"/>
      <c r="F57" s="38"/>
    </row>
    <row r="58" spans="1:6">
      <c r="A58" s="38"/>
      <c r="B58" s="18" t="s">
        <v>253</v>
      </c>
      <c r="C58" s="18" t="s">
        <v>248</v>
      </c>
      <c r="D58" s="38"/>
      <c r="E58" s="5"/>
      <c r="F58" s="38"/>
    </row>
    <row r="59" spans="1:6">
      <c r="A59" s="38"/>
      <c r="B59" s="19" t="s">
        <v>254</v>
      </c>
      <c r="C59" s="18" t="s">
        <v>248</v>
      </c>
      <c r="D59" s="38"/>
      <c r="E59" s="17" t="b">
        <v>1</v>
      </c>
      <c r="F59" s="38"/>
    </row>
    <row r="60" spans="1:6">
      <c r="A60" s="39"/>
      <c r="B60" s="10" t="s">
        <v>255</v>
      </c>
      <c r="C60" s="10" t="s">
        <v>45</v>
      </c>
      <c r="D60" s="39"/>
      <c r="E60" s="5"/>
      <c r="F60" s="39"/>
    </row>
  </sheetData>
  <mergeCells count="36">
    <mergeCell ref="A2:A7"/>
    <mergeCell ref="D2:D7"/>
    <mergeCell ref="F2:F7"/>
    <mergeCell ref="A8:A12"/>
    <mergeCell ref="D8:D12"/>
    <mergeCell ref="A13:A18"/>
    <mergeCell ref="F19:F23"/>
    <mergeCell ref="A39:A43"/>
    <mergeCell ref="A44:A49"/>
    <mergeCell ref="A50:A54"/>
    <mergeCell ref="D50:D54"/>
    <mergeCell ref="F50:F54"/>
    <mergeCell ref="A55:A60"/>
    <mergeCell ref="A19:A23"/>
    <mergeCell ref="A24:A28"/>
    <mergeCell ref="C24:C28"/>
    <mergeCell ref="A29:A33"/>
    <mergeCell ref="C29:C33"/>
    <mergeCell ref="A34:A38"/>
    <mergeCell ref="C34:C38"/>
    <mergeCell ref="D55:D60"/>
    <mergeCell ref="D13:D18"/>
    <mergeCell ref="D19:D23"/>
    <mergeCell ref="D24:D28"/>
    <mergeCell ref="D29:D33"/>
    <mergeCell ref="D34:D38"/>
    <mergeCell ref="D39:D43"/>
    <mergeCell ref="D44:D49"/>
    <mergeCell ref="F55:F60"/>
    <mergeCell ref="F8:F12"/>
    <mergeCell ref="F13:F18"/>
    <mergeCell ref="F24:F28"/>
    <mergeCell ref="F29:F33"/>
    <mergeCell ref="F34:F38"/>
    <mergeCell ref="F39:F43"/>
    <mergeCell ref="F44:F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60"/>
  <sheetViews>
    <sheetView workbookViewId="0"/>
  </sheetViews>
  <sheetFormatPr defaultColWidth="14.453125" defaultRowHeight="15" customHeight="1"/>
  <cols>
    <col min="2" max="2" width="30.08984375" customWidth="1"/>
    <col min="4" max="4" width="23.54296875" customWidth="1"/>
    <col min="5" max="5" width="34.54296875" customWidth="1"/>
    <col min="6" max="6" width="41.08984375" customWidth="1"/>
  </cols>
  <sheetData>
    <row r="1" spans="1:6">
      <c r="A1" s="3" t="s">
        <v>256</v>
      </c>
      <c r="B1" s="3" t="s">
        <v>172</v>
      </c>
      <c r="C1" s="3" t="s">
        <v>173</v>
      </c>
      <c r="D1" s="3" t="s">
        <v>174</v>
      </c>
      <c r="E1" s="3" t="s">
        <v>176</v>
      </c>
      <c r="F1" s="20"/>
    </row>
    <row r="2" spans="1:6">
      <c r="A2" s="51">
        <v>1</v>
      </c>
      <c r="B2" s="4" t="s">
        <v>177</v>
      </c>
      <c r="C2" s="4" t="s">
        <v>45</v>
      </c>
      <c r="D2" s="50" t="s">
        <v>280</v>
      </c>
      <c r="E2" s="5">
        <v>7.5</v>
      </c>
      <c r="F2" s="37" t="s">
        <v>281</v>
      </c>
    </row>
    <row r="3" spans="1:6">
      <c r="A3" s="38"/>
      <c r="B3" s="4" t="s">
        <v>181</v>
      </c>
      <c r="C3" s="4" t="s">
        <v>45</v>
      </c>
      <c r="D3" s="38"/>
      <c r="E3" s="5"/>
      <c r="F3" s="38"/>
    </row>
    <row r="4" spans="1:6">
      <c r="A4" s="38"/>
      <c r="B4" s="4" t="s">
        <v>182</v>
      </c>
      <c r="C4" s="4" t="s">
        <v>45</v>
      </c>
      <c r="D4" s="38"/>
      <c r="E4" s="6" t="b">
        <v>1</v>
      </c>
      <c r="F4" s="38"/>
    </row>
    <row r="5" spans="1:6">
      <c r="A5" s="38"/>
      <c r="B5" s="4" t="s">
        <v>183</v>
      </c>
      <c r="C5" s="4" t="s">
        <v>45</v>
      </c>
      <c r="D5" s="38"/>
      <c r="E5" s="5"/>
      <c r="F5" s="38"/>
    </row>
    <row r="6" spans="1:6">
      <c r="A6" s="38"/>
      <c r="B6" s="4" t="s">
        <v>184</v>
      </c>
      <c r="C6" s="4" t="s">
        <v>45</v>
      </c>
      <c r="D6" s="38"/>
      <c r="E6" s="5"/>
      <c r="F6" s="38"/>
    </row>
    <row r="7" spans="1:6">
      <c r="A7" s="39"/>
      <c r="B7" s="4" t="s">
        <v>185</v>
      </c>
      <c r="C7" s="4" t="s">
        <v>26</v>
      </c>
      <c r="D7" s="39"/>
      <c r="E7" s="5"/>
      <c r="F7" s="39"/>
    </row>
    <row r="8" spans="1:6">
      <c r="A8" s="51">
        <v>2</v>
      </c>
      <c r="B8" s="4" t="s">
        <v>186</v>
      </c>
      <c r="C8" s="4" t="s">
        <v>45</v>
      </c>
      <c r="D8" s="50" t="s">
        <v>282</v>
      </c>
      <c r="E8" s="5" t="s">
        <v>283</v>
      </c>
      <c r="F8" s="37" t="s">
        <v>284</v>
      </c>
    </row>
    <row r="9" spans="1:6">
      <c r="A9" s="38"/>
      <c r="B9" s="4" t="s">
        <v>188</v>
      </c>
      <c r="C9" s="4" t="s">
        <v>45</v>
      </c>
      <c r="D9" s="38"/>
      <c r="E9" s="5">
        <v>8.8000000000000007</v>
      </c>
      <c r="F9" s="38"/>
    </row>
    <row r="10" spans="1:6">
      <c r="A10" s="38"/>
      <c r="B10" s="4" t="s">
        <v>189</v>
      </c>
      <c r="C10" s="4" t="s">
        <v>45</v>
      </c>
      <c r="D10" s="38"/>
      <c r="E10" s="6" t="b">
        <v>1</v>
      </c>
      <c r="F10" s="38"/>
    </row>
    <row r="11" spans="1:6">
      <c r="A11" s="38"/>
      <c r="B11" s="4" t="s">
        <v>190</v>
      </c>
      <c r="C11" s="4" t="s">
        <v>45</v>
      </c>
      <c r="D11" s="38"/>
      <c r="E11" s="5"/>
      <c r="F11" s="38"/>
    </row>
    <row r="12" spans="1:6">
      <c r="A12" s="39"/>
      <c r="B12" s="4" t="s">
        <v>191</v>
      </c>
      <c r="C12" s="4" t="s">
        <v>45</v>
      </c>
      <c r="D12" s="39"/>
      <c r="E12" s="5"/>
      <c r="F12" s="39"/>
    </row>
    <row r="13" spans="1:6">
      <c r="A13" s="51">
        <v>3</v>
      </c>
      <c r="B13" s="4" t="s">
        <v>192</v>
      </c>
      <c r="C13" s="4" t="s">
        <v>45</v>
      </c>
      <c r="D13" s="50" t="s">
        <v>285</v>
      </c>
      <c r="E13" s="6">
        <v>8.5</v>
      </c>
      <c r="F13" s="37" t="s">
        <v>286</v>
      </c>
    </row>
    <row r="14" spans="1:6">
      <c r="A14" s="38"/>
      <c r="B14" s="4" t="s">
        <v>195</v>
      </c>
      <c r="C14" s="4" t="s">
        <v>45</v>
      </c>
      <c r="D14" s="38"/>
      <c r="E14" s="5"/>
      <c r="F14" s="38"/>
    </row>
    <row r="15" spans="1:6">
      <c r="A15" s="38"/>
      <c r="B15" s="4" t="s">
        <v>196</v>
      </c>
      <c r="C15" s="4" t="s">
        <v>45</v>
      </c>
      <c r="D15" s="38"/>
      <c r="E15" s="5"/>
      <c r="F15" s="38"/>
    </row>
    <row r="16" spans="1:6">
      <c r="A16" s="38"/>
      <c r="B16" s="4" t="s">
        <v>197</v>
      </c>
      <c r="C16" s="4" t="s">
        <v>45</v>
      </c>
      <c r="D16" s="38"/>
      <c r="E16" s="5"/>
      <c r="F16" s="38"/>
    </row>
    <row r="17" spans="1:6">
      <c r="A17" s="38"/>
      <c r="B17" s="4" t="s">
        <v>198</v>
      </c>
      <c r="C17" s="4" t="s">
        <v>45</v>
      </c>
      <c r="D17" s="38"/>
      <c r="E17" s="5"/>
      <c r="F17" s="38"/>
    </row>
    <row r="18" spans="1:6">
      <c r="A18" s="39"/>
      <c r="B18" s="4" t="s">
        <v>199</v>
      </c>
      <c r="C18" s="4" t="s">
        <v>45</v>
      </c>
      <c r="D18" s="39"/>
      <c r="E18" s="5"/>
      <c r="F18" s="39"/>
    </row>
    <row r="19" spans="1:6">
      <c r="A19" s="47">
        <v>4</v>
      </c>
      <c r="B19" s="8" t="s">
        <v>200</v>
      </c>
      <c r="C19" s="8" t="s">
        <v>0</v>
      </c>
      <c r="D19" s="49" t="s">
        <v>287</v>
      </c>
      <c r="E19" s="9">
        <v>8.6999999999999993</v>
      </c>
      <c r="F19" s="37" t="s">
        <v>288</v>
      </c>
    </row>
    <row r="20" spans="1:6">
      <c r="A20" s="38"/>
      <c r="B20" s="10" t="s">
        <v>202</v>
      </c>
      <c r="C20" s="10" t="s">
        <v>19</v>
      </c>
      <c r="D20" s="45"/>
      <c r="E20" s="9"/>
      <c r="F20" s="38"/>
    </row>
    <row r="21" spans="1:6">
      <c r="A21" s="38"/>
      <c r="B21" s="10" t="s">
        <v>203</v>
      </c>
      <c r="C21" s="10" t="s">
        <v>19</v>
      </c>
      <c r="D21" s="45"/>
      <c r="E21" s="6" t="b">
        <v>1</v>
      </c>
      <c r="F21" s="38"/>
    </row>
    <row r="22" spans="1:6">
      <c r="A22" s="38"/>
      <c r="B22" s="10" t="s">
        <v>204</v>
      </c>
      <c r="C22" s="10" t="s">
        <v>42</v>
      </c>
      <c r="D22" s="45"/>
      <c r="E22" s="5"/>
      <c r="F22" s="38"/>
    </row>
    <row r="23" spans="1:6">
      <c r="A23" s="39"/>
      <c r="B23" s="10" t="s">
        <v>205</v>
      </c>
      <c r="C23" s="8" t="s">
        <v>45</v>
      </c>
      <c r="D23" s="46"/>
      <c r="E23" s="9"/>
      <c r="F23" s="39"/>
    </row>
    <row r="24" spans="1:6">
      <c r="A24" s="51">
        <v>5</v>
      </c>
      <c r="B24" s="4" t="s">
        <v>206</v>
      </c>
      <c r="C24" s="50" t="s">
        <v>45</v>
      </c>
      <c r="D24" s="52" t="s">
        <v>289</v>
      </c>
      <c r="E24" s="5">
        <v>9.4</v>
      </c>
      <c r="F24" s="37" t="s">
        <v>290</v>
      </c>
    </row>
    <row r="25" spans="1:6">
      <c r="A25" s="38"/>
      <c r="B25" s="4" t="s">
        <v>208</v>
      </c>
      <c r="C25" s="38"/>
      <c r="D25" s="45"/>
      <c r="E25" s="3" t="s">
        <v>209</v>
      </c>
      <c r="F25" s="38"/>
    </row>
    <row r="26" spans="1:6">
      <c r="A26" s="38"/>
      <c r="B26" s="4" t="s">
        <v>210</v>
      </c>
      <c r="C26" s="38"/>
      <c r="D26" s="45"/>
      <c r="E26" s="5"/>
      <c r="F26" s="38"/>
    </row>
    <row r="27" spans="1:6">
      <c r="A27" s="38"/>
      <c r="B27" s="4" t="s">
        <v>211</v>
      </c>
      <c r="C27" s="38"/>
      <c r="D27" s="45"/>
      <c r="E27" s="11"/>
      <c r="F27" s="38"/>
    </row>
    <row r="28" spans="1:6">
      <c r="A28" s="39"/>
      <c r="B28" s="4" t="s">
        <v>212</v>
      </c>
      <c r="C28" s="39"/>
      <c r="D28" s="46"/>
      <c r="E28" s="11"/>
      <c r="F28" s="39"/>
    </row>
    <row r="29" spans="1:6">
      <c r="A29" s="51">
        <v>6</v>
      </c>
      <c r="B29" s="4" t="s">
        <v>213</v>
      </c>
      <c r="C29" s="50" t="s">
        <v>45</v>
      </c>
      <c r="D29" s="50" t="s">
        <v>291</v>
      </c>
      <c r="E29" s="5">
        <v>8</v>
      </c>
      <c r="F29" s="37" t="s">
        <v>292</v>
      </c>
    </row>
    <row r="30" spans="1:6">
      <c r="A30" s="38"/>
      <c r="B30" s="12" t="s">
        <v>216</v>
      </c>
      <c r="C30" s="38"/>
      <c r="D30" s="38"/>
      <c r="E30" s="5"/>
      <c r="F30" s="38"/>
    </row>
    <row r="31" spans="1:6">
      <c r="A31" s="38"/>
      <c r="B31" s="4" t="s">
        <v>217</v>
      </c>
      <c r="C31" s="38"/>
      <c r="D31" s="38"/>
      <c r="E31" s="6" t="b">
        <v>1</v>
      </c>
      <c r="F31" s="38"/>
    </row>
    <row r="32" spans="1:6">
      <c r="A32" s="38"/>
      <c r="B32" s="4" t="s">
        <v>218</v>
      </c>
      <c r="C32" s="38"/>
      <c r="D32" s="38"/>
      <c r="E32" s="5"/>
      <c r="F32" s="38"/>
    </row>
    <row r="33" spans="1:6">
      <c r="A33" s="39"/>
      <c r="B33" s="4" t="s">
        <v>219</v>
      </c>
      <c r="C33" s="39"/>
      <c r="D33" s="39"/>
      <c r="E33" s="5"/>
      <c r="F33" s="39"/>
    </row>
    <row r="34" spans="1:6">
      <c r="A34" s="51">
        <v>7</v>
      </c>
      <c r="B34" s="4" t="s">
        <v>220</v>
      </c>
      <c r="C34" s="50" t="s">
        <v>45</v>
      </c>
      <c r="D34" s="50" t="s">
        <v>293</v>
      </c>
      <c r="E34" s="5">
        <v>8.1999999999999993</v>
      </c>
      <c r="F34" s="37" t="s">
        <v>294</v>
      </c>
    </row>
    <row r="35" spans="1:6">
      <c r="A35" s="38"/>
      <c r="B35" s="4" t="s">
        <v>223</v>
      </c>
      <c r="C35" s="38"/>
      <c r="D35" s="38"/>
      <c r="E35" s="5"/>
      <c r="F35" s="38"/>
    </row>
    <row r="36" spans="1:6">
      <c r="A36" s="38"/>
      <c r="B36" s="4" t="s">
        <v>224</v>
      </c>
      <c r="C36" s="38"/>
      <c r="D36" s="38"/>
      <c r="E36" s="6" t="b">
        <v>1</v>
      </c>
      <c r="F36" s="38"/>
    </row>
    <row r="37" spans="1:6">
      <c r="A37" s="38"/>
      <c r="B37" s="4" t="s">
        <v>225</v>
      </c>
      <c r="C37" s="38"/>
      <c r="D37" s="38"/>
      <c r="E37" s="5"/>
      <c r="F37" s="38"/>
    </row>
    <row r="38" spans="1:6">
      <c r="A38" s="39"/>
      <c r="B38" s="4" t="s">
        <v>226</v>
      </c>
      <c r="C38" s="39"/>
      <c r="D38" s="39"/>
      <c r="E38" s="5"/>
      <c r="F38" s="39"/>
    </row>
    <row r="39" spans="1:6">
      <c r="A39" s="47">
        <v>8</v>
      </c>
      <c r="B39" s="10" t="s">
        <v>227</v>
      </c>
      <c r="C39" s="10" t="s">
        <v>4</v>
      </c>
      <c r="D39" s="43" t="s">
        <v>295</v>
      </c>
      <c r="E39" s="13">
        <v>8.6999999999999993</v>
      </c>
      <c r="F39" s="37" t="s">
        <v>296</v>
      </c>
    </row>
    <row r="40" spans="1:6">
      <c r="A40" s="38"/>
      <c r="B40" s="10" t="s">
        <v>229</v>
      </c>
      <c r="C40" s="10" t="s">
        <v>4</v>
      </c>
      <c r="D40" s="38"/>
      <c r="E40" s="14" t="s">
        <v>209</v>
      </c>
      <c r="F40" s="38"/>
    </row>
    <row r="41" spans="1:6">
      <c r="A41" s="38"/>
      <c r="B41" s="10" t="s">
        <v>230</v>
      </c>
      <c r="C41" s="10" t="s">
        <v>4</v>
      </c>
      <c r="D41" s="38"/>
      <c r="E41" s="15"/>
      <c r="F41" s="38"/>
    </row>
    <row r="42" spans="1:6">
      <c r="A42" s="38"/>
      <c r="B42" s="10" t="s">
        <v>231</v>
      </c>
      <c r="C42" s="10" t="s">
        <v>4</v>
      </c>
      <c r="D42" s="38"/>
      <c r="E42" s="15"/>
      <c r="F42" s="38"/>
    </row>
    <row r="43" spans="1:6">
      <c r="A43" s="39"/>
      <c r="B43" s="10" t="s">
        <v>232</v>
      </c>
      <c r="C43" s="10" t="s">
        <v>45</v>
      </c>
      <c r="D43" s="39"/>
      <c r="E43" s="16"/>
      <c r="F43" s="39"/>
    </row>
    <row r="44" spans="1:6">
      <c r="A44" s="51">
        <v>9</v>
      </c>
      <c r="B44" s="4" t="s">
        <v>233</v>
      </c>
      <c r="C44" s="4" t="s">
        <v>45</v>
      </c>
      <c r="D44" s="50" t="s">
        <v>297</v>
      </c>
      <c r="E44" s="5">
        <v>7.4</v>
      </c>
      <c r="F44" s="37" t="s">
        <v>298</v>
      </c>
    </row>
    <row r="45" spans="1:6">
      <c r="A45" s="38"/>
      <c r="B45" s="4" t="s">
        <v>236</v>
      </c>
      <c r="C45" s="4" t="s">
        <v>45</v>
      </c>
      <c r="D45" s="38"/>
      <c r="E45" s="5"/>
      <c r="F45" s="38"/>
    </row>
    <row r="46" spans="1:6">
      <c r="A46" s="38"/>
      <c r="B46" s="4" t="s">
        <v>237</v>
      </c>
      <c r="C46" s="4" t="s">
        <v>45</v>
      </c>
      <c r="D46" s="38"/>
      <c r="E46" s="5"/>
      <c r="F46" s="38"/>
    </row>
    <row r="47" spans="1:6">
      <c r="A47" s="38"/>
      <c r="B47" s="4" t="s">
        <v>238</v>
      </c>
      <c r="C47" s="4" t="s">
        <v>45</v>
      </c>
      <c r="D47" s="38"/>
      <c r="E47" s="6" t="s">
        <v>209</v>
      </c>
      <c r="F47" s="38"/>
    </row>
    <row r="48" spans="1:6">
      <c r="A48" s="38"/>
      <c r="B48" s="4" t="s">
        <v>239</v>
      </c>
      <c r="C48" s="4" t="s">
        <v>45</v>
      </c>
      <c r="D48" s="38"/>
      <c r="E48" s="5"/>
      <c r="F48" s="38"/>
    </row>
    <row r="49" spans="1:6">
      <c r="A49" s="39"/>
      <c r="B49" s="4" t="s">
        <v>240</v>
      </c>
      <c r="C49" s="4" t="s">
        <v>45</v>
      </c>
      <c r="D49" s="39"/>
      <c r="E49" s="5"/>
      <c r="F49" s="39"/>
    </row>
    <row r="50" spans="1:6">
      <c r="A50" s="47">
        <v>10</v>
      </c>
      <c r="B50" s="10" t="s">
        <v>241</v>
      </c>
      <c r="C50" s="10" t="s">
        <v>26</v>
      </c>
      <c r="D50" s="49" t="s">
        <v>299</v>
      </c>
      <c r="E50" s="9">
        <v>8.1</v>
      </c>
      <c r="F50" s="37" t="s">
        <v>300</v>
      </c>
    </row>
    <row r="51" spans="1:6">
      <c r="A51" s="38"/>
      <c r="B51" s="10" t="s">
        <v>243</v>
      </c>
      <c r="C51" s="10" t="s">
        <v>26</v>
      </c>
      <c r="D51" s="45"/>
      <c r="E51" s="17" t="b">
        <v>1</v>
      </c>
      <c r="F51" s="38"/>
    </row>
    <row r="52" spans="1:6">
      <c r="A52" s="38"/>
      <c r="B52" s="10" t="s">
        <v>244</v>
      </c>
      <c r="C52" s="10" t="s">
        <v>26</v>
      </c>
      <c r="D52" s="45"/>
      <c r="E52" s="9"/>
      <c r="F52" s="38"/>
    </row>
    <row r="53" spans="1:6">
      <c r="A53" s="38"/>
      <c r="B53" s="10" t="s">
        <v>245</v>
      </c>
      <c r="C53" s="10" t="s">
        <v>26</v>
      </c>
      <c r="D53" s="45"/>
      <c r="E53" s="9"/>
      <c r="F53" s="38"/>
    </row>
    <row r="54" spans="1:6">
      <c r="A54" s="39"/>
      <c r="B54" s="10" t="s">
        <v>246</v>
      </c>
      <c r="C54" s="10" t="s">
        <v>167</v>
      </c>
      <c r="D54" s="46"/>
      <c r="E54" s="9"/>
      <c r="F54" s="39"/>
    </row>
    <row r="55" spans="1:6">
      <c r="A55" s="51">
        <v>11</v>
      </c>
      <c r="B55" s="18" t="s">
        <v>247</v>
      </c>
      <c r="C55" s="18" t="s">
        <v>248</v>
      </c>
      <c r="D55" s="50" t="s">
        <v>301</v>
      </c>
      <c r="E55" s="5">
        <v>9.1999999999999993</v>
      </c>
      <c r="F55" s="37" t="s">
        <v>302</v>
      </c>
    </row>
    <row r="56" spans="1:6">
      <c r="A56" s="38"/>
      <c r="B56" s="18" t="s">
        <v>251</v>
      </c>
      <c r="C56" s="18" t="s">
        <v>248</v>
      </c>
      <c r="D56" s="38"/>
      <c r="E56" s="5"/>
      <c r="F56" s="38"/>
    </row>
    <row r="57" spans="1:6">
      <c r="A57" s="38"/>
      <c r="B57" s="18" t="s">
        <v>252</v>
      </c>
      <c r="C57" s="18" t="s">
        <v>248</v>
      </c>
      <c r="D57" s="38"/>
      <c r="E57" s="5"/>
      <c r="F57" s="38"/>
    </row>
    <row r="58" spans="1:6">
      <c r="A58" s="38"/>
      <c r="B58" s="18" t="s">
        <v>253</v>
      </c>
      <c r="C58" s="18" t="s">
        <v>248</v>
      </c>
      <c r="D58" s="38"/>
      <c r="E58" s="5"/>
      <c r="F58" s="38"/>
    </row>
    <row r="59" spans="1:6">
      <c r="A59" s="38"/>
      <c r="B59" s="19" t="s">
        <v>254</v>
      </c>
      <c r="C59" s="18" t="s">
        <v>248</v>
      </c>
      <c r="D59" s="38"/>
      <c r="E59" s="17" t="b">
        <v>1</v>
      </c>
      <c r="F59" s="38"/>
    </row>
    <row r="60" spans="1:6">
      <c r="A60" s="39"/>
      <c r="B60" s="10" t="s">
        <v>255</v>
      </c>
      <c r="C60" s="10" t="s">
        <v>45</v>
      </c>
      <c r="D60" s="39"/>
      <c r="E60" s="5"/>
      <c r="F60" s="39"/>
    </row>
  </sheetData>
  <mergeCells count="36">
    <mergeCell ref="A2:A7"/>
    <mergeCell ref="D2:D7"/>
    <mergeCell ref="F2:F7"/>
    <mergeCell ref="A8:A12"/>
    <mergeCell ref="D8:D12"/>
    <mergeCell ref="A13:A18"/>
    <mergeCell ref="F19:F23"/>
    <mergeCell ref="A39:A43"/>
    <mergeCell ref="A44:A49"/>
    <mergeCell ref="A50:A54"/>
    <mergeCell ref="D50:D54"/>
    <mergeCell ref="F50:F54"/>
    <mergeCell ref="A55:A60"/>
    <mergeCell ref="A19:A23"/>
    <mergeCell ref="A24:A28"/>
    <mergeCell ref="C24:C28"/>
    <mergeCell ref="A29:A33"/>
    <mergeCell ref="C29:C33"/>
    <mergeCell ref="A34:A38"/>
    <mergeCell ref="C34:C38"/>
    <mergeCell ref="D55:D60"/>
    <mergeCell ref="D13:D18"/>
    <mergeCell ref="D19:D23"/>
    <mergeCell ref="D24:D28"/>
    <mergeCell ref="D29:D33"/>
    <mergeCell ref="D34:D38"/>
    <mergeCell ref="D39:D43"/>
    <mergeCell ref="D44:D49"/>
    <mergeCell ref="F55:F60"/>
    <mergeCell ref="F8:F12"/>
    <mergeCell ref="F13:F18"/>
    <mergeCell ref="F24:F28"/>
    <mergeCell ref="F29:F33"/>
    <mergeCell ref="F34:F38"/>
    <mergeCell ref="F39:F43"/>
    <mergeCell ref="F44:F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ELC3020_50K22.2</vt:lpstr>
      <vt:lpstr>Project giữa kỳ</vt:lpstr>
      <vt:lpstr>Biểu đồ nâng cao</vt:lpstr>
      <vt:lpstr>Tư duy phân tích &amp; xây dựng 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 Do Hoang</cp:lastModifiedBy>
  <dcterms:modified xsi:type="dcterms:W3CDTF">2026-04-07T05:29:34Z</dcterms:modified>
</cp:coreProperties>
</file>